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d4387f77a682ea/Documents/"/>
    </mc:Choice>
  </mc:AlternateContent>
  <xr:revisionPtr revIDLastSave="0" documentId="8_{DD08C647-A353-4F2C-88BF-0EA7F872D1D1}" xr6:coauthVersionLast="47" xr6:coauthVersionMax="47" xr10:uidLastSave="{00000000-0000-0000-0000-000000000000}"/>
  <bookViews>
    <workbookView xWindow="-108" yWindow="-108" windowWidth="23256" windowHeight="13896" xr2:uid="{5F4F9B6A-912B-45DD-AEE8-992BF1E9E4DC}"/>
  </bookViews>
  <sheets>
    <sheet name="Students Summary" sheetId="3" r:id="rId1"/>
    <sheet name="Employee Performance" sheetId="1" r:id="rId2"/>
    <sheet name="Shop Inventory" sheetId="2" r:id="rId3"/>
  </sheets>
  <calcPr calcId="191029"/>
  <pivotCaches>
    <pivotCache cacheId="10" r:id="rId4"/>
    <pivotCache cacheId="1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7" i="3" l="1"/>
  <c r="M16" i="3"/>
  <c r="F3" i="3"/>
  <c r="F4" i="3"/>
  <c r="F5" i="3"/>
  <c r="F6" i="3"/>
  <c r="F2" i="3"/>
  <c r="E3" i="2"/>
  <c r="E4" i="2"/>
  <c r="E5" i="2"/>
  <c r="E6" i="2"/>
  <c r="E2" i="2"/>
  <c r="E3" i="1"/>
  <c r="E4" i="1"/>
  <c r="E5" i="1"/>
  <c r="E6" i="1"/>
  <c r="E2" i="1"/>
</calcChain>
</file>

<file path=xl/sharedStrings.xml><?xml version="1.0" encoding="utf-8"?>
<sst xmlns="http://schemas.openxmlformats.org/spreadsheetml/2006/main" count="59" uniqueCount="41">
  <si>
    <t>Employee</t>
  </si>
  <si>
    <t>Department</t>
  </si>
  <si>
    <t>Sales</t>
  </si>
  <si>
    <t>Targets</t>
  </si>
  <si>
    <t>Bonus</t>
  </si>
  <si>
    <t>Arif</t>
  </si>
  <si>
    <t>Marketing</t>
  </si>
  <si>
    <t>Sumi</t>
  </si>
  <si>
    <t>Finance</t>
  </si>
  <si>
    <t>Tanvir</t>
  </si>
  <si>
    <t>IT</t>
  </si>
  <si>
    <t>Nabila</t>
  </si>
  <si>
    <t>HR</t>
  </si>
  <si>
    <t>Rahim</t>
  </si>
  <si>
    <t>Row Labels</t>
  </si>
  <si>
    <t>Grand Total</t>
  </si>
  <si>
    <t>Sum of Sales</t>
  </si>
  <si>
    <t>Product</t>
  </si>
  <si>
    <t>Category</t>
  </si>
  <si>
    <t>Stock</t>
  </si>
  <si>
    <t>Price</t>
  </si>
  <si>
    <t>Value</t>
  </si>
  <si>
    <t>Laptop</t>
  </si>
  <si>
    <t>Electronics</t>
  </si>
  <si>
    <t>Phone</t>
  </si>
  <si>
    <t>Chair</t>
  </si>
  <si>
    <t>Furniture</t>
  </si>
  <si>
    <t>Table</t>
  </si>
  <si>
    <t>Pen</t>
  </si>
  <si>
    <t>Stationery</t>
  </si>
  <si>
    <t>Sum of Value</t>
  </si>
  <si>
    <t>Student</t>
  </si>
  <si>
    <t>Math</t>
  </si>
  <si>
    <t>Accounting</t>
  </si>
  <si>
    <t>English</t>
  </si>
  <si>
    <t>Attendance %</t>
  </si>
  <si>
    <t>Ayesha</t>
  </si>
  <si>
    <t>Result</t>
  </si>
  <si>
    <t>Pass</t>
  </si>
  <si>
    <t>Fail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</si>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</sst>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/>
    <xf numFmtId="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23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3" formatCode="0%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'Students Summary'!$M$15</c:f>
              <c:strCache>
                <c:ptCount val="1"/>
                <c:pt idx="0">
                  <c:v>Result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'Students Summary'!$L$16:$L$17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'Students Summary'!$M$16:$M$17</c:f>
              <c:numCache>
                <c:formatCode>General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D-401D-8B90-33BA3DD6BAB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Perfomance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multiLvlStrRef>
              <c:f>'Employee Performance'!$A$2:$B$6</c:f>
              <c:multiLvlStrCache>
                <c:ptCount val="5"/>
                <c:lvl>
                  <c:pt idx="0">
                    <c:v>Marketing</c:v>
                  </c:pt>
                  <c:pt idx="1">
                    <c:v>Finance</c:v>
                  </c:pt>
                  <c:pt idx="2">
                    <c:v>IT</c:v>
                  </c:pt>
                  <c:pt idx="3">
                    <c:v>HR</c:v>
                  </c:pt>
                  <c:pt idx="4">
                    <c:v>Sales</c:v>
                  </c:pt>
                </c:lvl>
                <c:lvl>
                  <c:pt idx="0">
                    <c:v>Arif</c:v>
                  </c:pt>
                  <c:pt idx="1">
                    <c:v>Sumi</c:v>
                  </c:pt>
                  <c:pt idx="2">
                    <c:v>Tanvir</c:v>
                  </c:pt>
                  <c:pt idx="3">
                    <c:v>Nabila</c:v>
                  </c:pt>
                  <c:pt idx="4">
                    <c:v>Rahim</c:v>
                  </c:pt>
                </c:lvl>
              </c:multiLvlStrCache>
            </c:multiLvlStrRef>
          </c:cat>
          <c:val>
            <c:numRef>
              <c:f>'Employee Performance'!$C$2:$C$6</c:f>
              <c:numCache>
                <c:formatCode>General</c:formatCode>
                <c:ptCount val="5"/>
                <c:pt idx="0">
                  <c:v>120</c:v>
                </c:pt>
                <c:pt idx="1">
                  <c:v>90</c:v>
                </c:pt>
                <c:pt idx="2">
                  <c:v>70</c:v>
                </c:pt>
                <c:pt idx="3">
                  <c:v>110</c:v>
                </c:pt>
                <c:pt idx="4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52-49D4-BEDB-4DF325B2E7CD}"/>
            </c:ext>
          </c:extLst>
        </c:ser>
        <c:ser>
          <c:idx val="1"/>
          <c:order val="1"/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cat>
            <c:multiLvlStrRef>
              <c:f>'Employee Performance'!$A$2:$B$6</c:f>
              <c:multiLvlStrCache>
                <c:ptCount val="5"/>
                <c:lvl>
                  <c:pt idx="0">
                    <c:v>Marketing</c:v>
                  </c:pt>
                  <c:pt idx="1">
                    <c:v>Finance</c:v>
                  </c:pt>
                  <c:pt idx="2">
                    <c:v>IT</c:v>
                  </c:pt>
                  <c:pt idx="3">
                    <c:v>HR</c:v>
                  </c:pt>
                  <c:pt idx="4">
                    <c:v>Sales</c:v>
                  </c:pt>
                </c:lvl>
                <c:lvl>
                  <c:pt idx="0">
                    <c:v>Arif</c:v>
                  </c:pt>
                  <c:pt idx="1">
                    <c:v>Sumi</c:v>
                  </c:pt>
                  <c:pt idx="2">
                    <c:v>Tanvir</c:v>
                  </c:pt>
                  <c:pt idx="3">
                    <c:v>Nabila</c:v>
                  </c:pt>
                  <c:pt idx="4">
                    <c:v>Rahim</c:v>
                  </c:pt>
                </c:lvl>
              </c:multiLvlStrCache>
            </c:multiLvlStrRef>
          </c:cat>
          <c:val>
            <c:numRef>
              <c:f>'Employee Performance'!$D$2:$D$6</c:f>
              <c:numCache>
                <c:formatCode>General</c:formatCode>
                <c:ptCount val="5"/>
                <c:pt idx="0">
                  <c:v>140</c:v>
                </c:pt>
                <c:pt idx="1">
                  <c:v>90</c:v>
                </c:pt>
                <c:pt idx="2">
                  <c:v>70</c:v>
                </c:pt>
                <c:pt idx="3">
                  <c:v>130</c:v>
                </c:pt>
                <c:pt idx="4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52-49D4-BEDB-4DF325B2E7CD}"/>
            </c:ext>
          </c:extLst>
        </c:ser>
        <c:ser>
          <c:idx val="2"/>
          <c:order val="2"/>
          <c:spPr>
            <a:pattFill prst="ltDnDiag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solidFill>
                <a:schemeClr val="accent3"/>
              </a:solidFill>
            </a:ln>
            <a:effectLst/>
            <a:sp3d>
              <a:contourClr>
                <a:schemeClr val="accent3"/>
              </a:contourClr>
            </a:sp3d>
          </c:spPr>
          <c:invertIfNegative val="0"/>
          <c:cat>
            <c:multiLvlStrRef>
              <c:f>'Employee Performance'!$A$2:$B$6</c:f>
              <c:multiLvlStrCache>
                <c:ptCount val="5"/>
                <c:lvl>
                  <c:pt idx="0">
                    <c:v>Marketing</c:v>
                  </c:pt>
                  <c:pt idx="1">
                    <c:v>Finance</c:v>
                  </c:pt>
                  <c:pt idx="2">
                    <c:v>IT</c:v>
                  </c:pt>
                  <c:pt idx="3">
                    <c:v>HR</c:v>
                  </c:pt>
                  <c:pt idx="4">
                    <c:v>Sales</c:v>
                  </c:pt>
                </c:lvl>
                <c:lvl>
                  <c:pt idx="0">
                    <c:v>Arif</c:v>
                  </c:pt>
                  <c:pt idx="1">
                    <c:v>Sumi</c:v>
                  </c:pt>
                  <c:pt idx="2">
                    <c:v>Tanvir</c:v>
                  </c:pt>
                  <c:pt idx="3">
                    <c:v>Nabila</c:v>
                  </c:pt>
                  <c:pt idx="4">
                    <c:v>Rahim</c:v>
                  </c:pt>
                </c:lvl>
              </c:multiLvlStrCache>
            </c:multiLvlStrRef>
          </c:cat>
          <c:val>
            <c:numRef>
              <c:f>'Employee Performance'!$E$2:$E$6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52-49D4-BEDB-4DF325B2E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2088525519"/>
        <c:axId val="1963933487"/>
        <c:axId val="0"/>
      </c:bar3DChart>
      <c:catAx>
        <c:axId val="208852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933487"/>
        <c:crosses val="autoZero"/>
        <c:auto val="1"/>
        <c:lblAlgn val="ctr"/>
        <c:lblOffset val="100"/>
        <c:noMultiLvlLbl val="0"/>
      </c:catAx>
      <c:valAx>
        <c:axId val="1963933487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525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662940</xdr:colOff>
      <xdr:row>7</xdr:row>
      <xdr:rowOff>26670</xdr:rowOff>
    </xdr:from>
    <xdr:to>
      <xdr:col>6</xdr:col>
      <xdr:colOff>548640</xdr:colOff>
      <xdr:row>22</xdr:row>
      <xdr:rowOff>26670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2FC404C-1227-633B-8AED-12D460CA8E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9</xdr:row>
      <xdr:rowOff>87630</xdr:rowOff>
    </xdr:from>
    <xdr:to>
      <xdr:col>6</xdr:col>
      <xdr:colOff>601980</xdr:colOff>
      <xdr:row>24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D066C8-E8BD-BF46-FB67-75A24BA939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1.076411805552" createdVersion="8" refreshedVersion="8" minRefreshableVersion="3" recordCount="5" xr:uid="{D6CD9440-7F63-47D5-868D-7821AEC4FD04}">
  <cacheSource type="worksheet">
    <worksheetSource name="Table1"/>
  </cacheSource>
  <cacheFields count="5">
    <cacheField name="Employee" numFmtId="0">
      <sharedItems/>
    </cacheField>
    <cacheField name="Department" numFmtId="0">
      <sharedItems count="5">
        <s v="Marketing"/>
        <s v="Finance"/>
        <s v="IT"/>
        <s v="HR"/>
        <s v="Sales"/>
      </sharedItems>
    </cacheField>
    <cacheField name="Sales" numFmtId="0">
      <sharedItems containsSemiMixedTypes="0" containsString="0" containsNumber="1" containsInteger="1" minValue="70" maxValue="150"/>
    </cacheField>
    <cacheField name="Targets" numFmtId="0">
      <sharedItems containsSemiMixedTypes="0" containsString="0" containsNumber="1" containsInteger="1" minValue="70" maxValue="160"/>
    </cacheField>
    <cacheField name="Bon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1.079334490743" createdVersion="8" refreshedVersion="8" minRefreshableVersion="3" recordCount="5" xr:uid="{2AA6C23A-E281-46CA-B31A-D4C014911FF4}">
  <cacheSource type="worksheet">
    <worksheetSource name="Table2"/>
  </cacheSource>
  <cacheFields count="5">
    <cacheField name="Product" numFmtId="0">
      <sharedItems/>
    </cacheField>
    <cacheField name="Category" numFmtId="0">
      <sharedItems count="3">
        <s v="Electronics"/>
        <s v="Furniture"/>
        <s v="Stationery"/>
      </sharedItems>
    </cacheField>
    <cacheField name="Stock" numFmtId="0">
      <sharedItems containsSemiMixedTypes="0" containsString="0" containsNumber="1" containsInteger="1" minValue="20" maxValue="200"/>
    </cacheField>
    <cacheField name="Price" numFmtId="0">
      <sharedItems containsSemiMixedTypes="0" containsString="0" containsNumber="1" containsInteger="1" minValue="10" maxValue="60000"/>
    </cacheField>
    <cacheField name="Value" numFmtId="0">
      <sharedItems containsSemiMixedTypes="0" containsString="0" containsNumber="1" containsInteger="1" minValue="2000" maxValue="12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Arif"/>
    <x v="0"/>
    <n v="120"/>
    <n v="140"/>
    <s v="0"/>
  </r>
  <r>
    <s v="Sumi"/>
    <x v="1"/>
    <n v="90"/>
    <n v="90"/>
    <s v="500"/>
  </r>
  <r>
    <s v="Tanvir"/>
    <x v="2"/>
    <n v="70"/>
    <n v="70"/>
    <s v="500"/>
  </r>
  <r>
    <s v="Nabila"/>
    <x v="3"/>
    <n v="110"/>
    <n v="130"/>
    <s v="0"/>
  </r>
  <r>
    <s v="Rahim"/>
    <x v="4"/>
    <n v="150"/>
    <n v="16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Laptop"/>
    <x v="0"/>
    <n v="20"/>
    <n v="60000"/>
    <n v="1200000"/>
  </r>
  <r>
    <s v="Phone"/>
    <x v="0"/>
    <n v="50"/>
    <n v="25000"/>
    <n v="1250000"/>
  </r>
  <r>
    <s v="Chair"/>
    <x v="1"/>
    <n v="40"/>
    <n v="5000"/>
    <n v="200000"/>
  </r>
  <r>
    <s v="Table"/>
    <x v="1"/>
    <n v="25"/>
    <n v="8000"/>
    <n v="200000"/>
  </r>
  <r>
    <s v="Pen"/>
    <x v="2"/>
    <n v="200"/>
    <n v="10"/>
    <n v="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08046A-6948-463A-A1A4-4002C0F97BB3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9" firstHeaderRow="1" firstDataRow="1" firstDataCol="1"/>
  <pivotFields count="5">
    <pivotField showAll="0"/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8737CF-E496-4710-AC88-72F4D3B7295F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:C13" firstHeaderRow="1" firstDataRow="1" firstDataCol="1"/>
  <pivotFields count="5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Val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B6A60F-EC9A-4645-81DC-868EA342E75A}" name="Table3" displayName="Table3" ref="A1:F6" totalsRowShown="0" headerRowDxfId="7" dataDxfId="0">
  <autoFilter ref="A1:F6" xr:uid="{B4B6A60F-EC9A-4645-81DC-868EA342E75A}"/>
  <tableColumns count="6">
    <tableColumn id="1" xr3:uid="{33CABF6D-01B3-4D1C-B0A7-7A5F8358CDBE}" name="Student" dataDxfId="6"/>
    <tableColumn id="2" xr3:uid="{44D9F3F0-B577-4B9D-A5D6-17E836109193}" name="Math" dataDxfId="5"/>
    <tableColumn id="3" xr3:uid="{119F9281-BF78-4F24-8BDE-D430D9D2BC0B}" name="Accounting" dataDxfId="4"/>
    <tableColumn id="4" xr3:uid="{EB60F535-3FB9-4812-9179-70C9664EEE10}" name="English" dataDxfId="3"/>
    <tableColumn id="5" xr3:uid="{F1C2B3A2-7037-43A3-85C5-E574E8B8C324}" name="Attendance %" dataDxfId="2"/>
    <tableColumn id="6" xr3:uid="{BF29B28C-4978-438C-9217-D55DC6DB17A2}" name="Result" dataDxfId="1">
      <calculatedColumnFormula>IF(AND(B2&gt;=40,C2&gt;=40,D2&gt;=40,E2&gt;=0.75),"Pass","Fail")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59B256-8556-4180-B871-08627B126C8C}" name="Table1" displayName="Table1" ref="A1:E6" totalsRowShown="0" headerRowDxfId="16" dataDxfId="17">
  <autoFilter ref="A1:E6" xr:uid="{6659B256-8556-4180-B871-08627B126C8C}"/>
  <tableColumns count="5">
    <tableColumn id="1" xr3:uid="{5B0A86CF-4F5F-4464-859D-FF358AA582CC}" name="Employee" dataDxfId="22"/>
    <tableColumn id="2" xr3:uid="{1EB27B04-CE85-4F49-B687-F53CA9ACFA80}" name="Department" dataDxfId="21"/>
    <tableColumn id="3" xr3:uid="{7D5FF82D-0F4E-48D4-AD33-698AA1512B70}" name="Sales" dataDxfId="20"/>
    <tableColumn id="4" xr3:uid="{B4941EB5-5C6E-4D71-929B-EA41A010A29D}" name="Targets" dataDxfId="19"/>
    <tableColumn id="5" xr3:uid="{BD9B4E58-A579-42DD-AAA8-F8DA3B7546A2}" name="Bonus" dataDxfId="18">
      <calculatedColumnFormula>IF(C2&gt;=D2,"500","0")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018F22-AC2B-4A66-A46E-BAE8435E31DA}" name="Table2" displayName="Table2" ref="A1:E6" totalsRowShown="0" headerRowDxfId="15" dataDxfId="8">
  <autoFilter ref="A1:E6" xr:uid="{34018F22-AC2B-4A66-A46E-BAE8435E31DA}"/>
  <tableColumns count="5">
    <tableColumn id="1" xr3:uid="{A70C654A-9184-4F51-969C-D79646924610}" name="Product" dataDxfId="13"/>
    <tableColumn id="2" xr3:uid="{DF6AEF1B-2F1A-4C65-93AF-24566A85C879}" name="Category" dataDxfId="12"/>
    <tableColumn id="3" xr3:uid="{5DF224EC-CAAF-46AC-9FEE-4696750BA1C8}" name="Stock" dataDxfId="11"/>
    <tableColumn id="4" xr3:uid="{EAB6E002-1F5B-4037-AC50-6F3F462B7A83}" name="Price" dataDxfId="10"/>
    <tableColumn id="5" xr3:uid="{9B362DA2-01D2-47CF-B11F-9F3794E5D7D1}" name="Value" dataDxfId="9">
      <calculatedColumnFormula>C2*D2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BA48-ED5C-4DC9-950D-3F1076126612}">
  <dimension ref="A1:M17"/>
  <sheetViews>
    <sheetView tabSelected="1" workbookViewId="0">
      <selection activeCell="M16" sqref="M16"/>
    </sheetView>
  </sheetViews>
  <sheetFormatPr defaultRowHeight="14.4" x14ac:dyDescent="0.3"/>
  <cols>
    <col min="1" max="1" width="12.44140625" bestFit="1" customWidth="1"/>
    <col min="2" max="2" width="11.6640625" bestFit="1" customWidth="1"/>
    <col min="3" max="3" width="12.109375" customWidth="1"/>
    <col min="5" max="5" width="14.33203125" customWidth="1"/>
  </cols>
  <sheetData>
    <row r="1" spans="1:13" x14ac:dyDescent="0.3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37</v>
      </c>
    </row>
    <row r="2" spans="1:13" x14ac:dyDescent="0.3">
      <c r="A2" s="2" t="s">
        <v>36</v>
      </c>
      <c r="B2" s="1">
        <v>78</v>
      </c>
      <c r="C2" s="1">
        <v>65</v>
      </c>
      <c r="D2" s="1">
        <v>55</v>
      </c>
      <c r="E2" s="7">
        <v>0.9</v>
      </c>
      <c r="F2" s="1" t="str">
        <f>IF(AND(B2&gt;=40,C2&gt;=40,D2&gt;=40,E2&gt;=0.75),"Pass","Fail")</f>
        <v>Pass</v>
      </c>
    </row>
    <row r="3" spans="1:13" x14ac:dyDescent="0.3">
      <c r="A3" s="2" t="s">
        <v>13</v>
      </c>
      <c r="B3" s="1">
        <v>35</v>
      </c>
      <c r="C3" s="1">
        <v>60</v>
      </c>
      <c r="D3" s="1">
        <v>50</v>
      </c>
      <c r="E3" s="7">
        <v>0.7</v>
      </c>
      <c r="F3" s="1" t="str">
        <f t="shared" ref="F3:F6" si="0">IF(AND(B3&gt;=40,C3&gt;=40,D3&gt;=40,E3&gt;=0.75),"Pass","Fail")</f>
        <v>Fail</v>
      </c>
    </row>
    <row r="4" spans="1:13" x14ac:dyDescent="0.3">
      <c r="A4" s="2" t="s">
        <v>7</v>
      </c>
      <c r="B4" s="1">
        <v>80</v>
      </c>
      <c r="C4" s="1">
        <v>90</v>
      </c>
      <c r="D4" s="1">
        <v>85</v>
      </c>
      <c r="E4" s="7">
        <v>0.95</v>
      </c>
      <c r="F4" s="1" t="str">
        <f t="shared" si="0"/>
        <v>Pass</v>
      </c>
    </row>
    <row r="5" spans="1:13" x14ac:dyDescent="0.3">
      <c r="A5" s="2" t="s">
        <v>9</v>
      </c>
      <c r="B5" s="1">
        <v>40</v>
      </c>
      <c r="C5" s="1">
        <v>45</v>
      </c>
      <c r="D5" s="1">
        <v>50</v>
      </c>
      <c r="E5" s="7">
        <v>0.6</v>
      </c>
      <c r="F5" s="1" t="str">
        <f t="shared" si="0"/>
        <v>Fail</v>
      </c>
    </row>
    <row r="6" spans="1:13" x14ac:dyDescent="0.3">
      <c r="A6" s="2" t="s">
        <v>11</v>
      </c>
      <c r="B6" s="1">
        <v>67</v>
      </c>
      <c r="C6" s="1">
        <v>70</v>
      </c>
      <c r="D6" s="1">
        <v>65</v>
      </c>
      <c r="E6" s="7">
        <v>0.85</v>
      </c>
      <c r="F6" s="1" t="str">
        <f t="shared" si="0"/>
        <v>Pass</v>
      </c>
    </row>
    <row r="15" spans="1:13" x14ac:dyDescent="0.3">
      <c r="G15" s="6"/>
      <c r="L15" t="s">
        <v>40</v>
      </c>
      <c r="M15" t="s">
        <v>37</v>
      </c>
    </row>
    <row r="16" spans="1:13" x14ac:dyDescent="0.3">
      <c r="L16" t="s">
        <v>38</v>
      </c>
      <c r="M16">
        <f>COUNTIF(F2:F6,"Pass")</f>
        <v>3</v>
      </c>
    </row>
    <row r="17" spans="12:13" x14ac:dyDescent="0.3">
      <c r="L17" t="s">
        <v>39</v>
      </c>
      <c r="M17">
        <f>COUNTIF(F2:F6,"Fail")</f>
        <v>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ECF66-69D8-4803-9A98-20508E413DBF}">
  <dimension ref="A1:H9"/>
  <sheetViews>
    <sheetView workbookViewId="0">
      <selection activeCell="G2" sqref="G2"/>
    </sheetView>
  </sheetViews>
  <sheetFormatPr defaultRowHeight="14.4" x14ac:dyDescent="0.3"/>
  <cols>
    <col min="1" max="1" width="11.109375" customWidth="1"/>
    <col min="2" max="2" width="12.88671875" customWidth="1"/>
    <col min="8" max="8" width="12.664062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8" x14ac:dyDescent="0.3">
      <c r="A2" s="2" t="s">
        <v>5</v>
      </c>
      <c r="B2" s="1" t="s">
        <v>6</v>
      </c>
      <c r="C2" s="1">
        <v>120</v>
      </c>
      <c r="D2" s="1">
        <v>140</v>
      </c>
      <c r="E2" s="1" t="str">
        <f>IF(C2&gt;=D2,"500","0")</f>
        <v>0</v>
      </c>
    </row>
    <row r="3" spans="1:8" x14ac:dyDescent="0.3">
      <c r="A3" s="2" t="s">
        <v>7</v>
      </c>
      <c r="B3" s="1" t="s">
        <v>8</v>
      </c>
      <c r="C3" s="1">
        <v>90</v>
      </c>
      <c r="D3" s="1">
        <v>90</v>
      </c>
      <c r="E3" s="1" t="str">
        <f t="shared" ref="E3:E6" si="0">IF(C3&gt;=D3,"500","0")</f>
        <v>500</v>
      </c>
      <c r="G3" s="3" t="s">
        <v>14</v>
      </c>
      <c r="H3" t="s">
        <v>16</v>
      </c>
    </row>
    <row r="4" spans="1:8" x14ac:dyDescent="0.3">
      <c r="A4" s="2" t="s">
        <v>9</v>
      </c>
      <c r="B4" s="1" t="s">
        <v>10</v>
      </c>
      <c r="C4" s="1">
        <v>70</v>
      </c>
      <c r="D4" s="1">
        <v>70</v>
      </c>
      <c r="E4" s="1" t="str">
        <f t="shared" si="0"/>
        <v>500</v>
      </c>
      <c r="G4" s="4" t="s">
        <v>8</v>
      </c>
      <c r="H4" s="5">
        <v>90</v>
      </c>
    </row>
    <row r="5" spans="1:8" x14ac:dyDescent="0.3">
      <c r="A5" s="2" t="s">
        <v>11</v>
      </c>
      <c r="B5" s="1" t="s">
        <v>12</v>
      </c>
      <c r="C5" s="1">
        <v>110</v>
      </c>
      <c r="D5" s="1">
        <v>130</v>
      </c>
      <c r="E5" s="1" t="str">
        <f t="shared" si="0"/>
        <v>0</v>
      </c>
      <c r="G5" s="4" t="s">
        <v>12</v>
      </c>
      <c r="H5" s="5">
        <v>110</v>
      </c>
    </row>
    <row r="6" spans="1:8" x14ac:dyDescent="0.3">
      <c r="A6" s="2" t="s">
        <v>13</v>
      </c>
      <c r="B6" s="1" t="s">
        <v>2</v>
      </c>
      <c r="C6" s="1">
        <v>150</v>
      </c>
      <c r="D6" s="1">
        <v>160</v>
      </c>
      <c r="E6" s="1" t="str">
        <f t="shared" si="0"/>
        <v>0</v>
      </c>
      <c r="G6" s="4" t="s">
        <v>10</v>
      </c>
      <c r="H6" s="5">
        <v>70</v>
      </c>
    </row>
    <row r="7" spans="1:8" x14ac:dyDescent="0.3">
      <c r="G7" s="4" t="s">
        <v>6</v>
      </c>
      <c r="H7" s="5">
        <v>120</v>
      </c>
    </row>
    <row r="8" spans="1:8" x14ac:dyDescent="0.3">
      <c r="G8" s="4" t="s">
        <v>2</v>
      </c>
      <c r="H8" s="5">
        <v>150</v>
      </c>
    </row>
    <row r="9" spans="1:8" x14ac:dyDescent="0.3">
      <c r="G9" s="4" t="s">
        <v>15</v>
      </c>
      <c r="H9" s="5">
        <v>540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6B8B7-B494-4AC9-8419-1040C5C937E5}">
  <dimension ref="A1:E13"/>
  <sheetViews>
    <sheetView workbookViewId="0">
      <selection activeCell="H9" sqref="H9"/>
    </sheetView>
  </sheetViews>
  <sheetFormatPr defaultRowHeight="14.4" x14ac:dyDescent="0.3"/>
  <cols>
    <col min="1" max="1" width="12.44140625" bestFit="1" customWidth="1"/>
    <col min="2" max="2" width="11.5546875" bestFit="1" customWidth="1"/>
    <col min="3" max="3" width="12.44140625" customWidth="1"/>
  </cols>
  <sheetData>
    <row r="1" spans="1:5" x14ac:dyDescent="0.3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</row>
    <row r="2" spans="1:5" x14ac:dyDescent="0.3">
      <c r="A2" s="2" t="s">
        <v>22</v>
      </c>
      <c r="B2" s="1" t="s">
        <v>23</v>
      </c>
      <c r="C2" s="1">
        <v>20</v>
      </c>
      <c r="D2" s="1">
        <v>60000</v>
      </c>
      <c r="E2" s="1">
        <f>C2*D2</f>
        <v>1200000</v>
      </c>
    </row>
    <row r="3" spans="1:5" x14ac:dyDescent="0.3">
      <c r="A3" s="2" t="s">
        <v>24</v>
      </c>
      <c r="B3" s="1" t="s">
        <v>23</v>
      </c>
      <c r="C3" s="1">
        <v>50</v>
      </c>
      <c r="D3" s="1">
        <v>25000</v>
      </c>
      <c r="E3" s="1">
        <f t="shared" ref="E3:E6" si="0">C3*D3</f>
        <v>1250000</v>
      </c>
    </row>
    <row r="4" spans="1:5" x14ac:dyDescent="0.3">
      <c r="A4" s="2" t="s">
        <v>25</v>
      </c>
      <c r="B4" s="1" t="s">
        <v>26</v>
      </c>
      <c r="C4" s="1">
        <v>40</v>
      </c>
      <c r="D4" s="1">
        <v>5000</v>
      </c>
      <c r="E4" s="1">
        <f t="shared" si="0"/>
        <v>200000</v>
      </c>
    </row>
    <row r="5" spans="1:5" x14ac:dyDescent="0.3">
      <c r="A5" s="2" t="s">
        <v>27</v>
      </c>
      <c r="B5" s="1" t="s">
        <v>26</v>
      </c>
      <c r="C5" s="1">
        <v>25</v>
      </c>
      <c r="D5" s="1">
        <v>8000</v>
      </c>
      <c r="E5" s="1">
        <f t="shared" si="0"/>
        <v>200000</v>
      </c>
    </row>
    <row r="6" spans="1:5" x14ac:dyDescent="0.3">
      <c r="A6" s="2" t="s">
        <v>28</v>
      </c>
      <c r="B6" s="1" t="s">
        <v>29</v>
      </c>
      <c r="C6" s="1">
        <v>200</v>
      </c>
      <c r="D6" s="1">
        <v>10</v>
      </c>
      <c r="E6" s="1">
        <f t="shared" si="0"/>
        <v>2000</v>
      </c>
    </row>
    <row r="9" spans="1:5" x14ac:dyDescent="0.3">
      <c r="B9" s="3" t="s">
        <v>14</v>
      </c>
      <c r="C9" t="s">
        <v>30</v>
      </c>
    </row>
    <row r="10" spans="1:5" x14ac:dyDescent="0.3">
      <c r="B10" s="4" t="s">
        <v>23</v>
      </c>
      <c r="C10" s="5">
        <v>2450000</v>
      </c>
    </row>
    <row r="11" spans="1:5" x14ac:dyDescent="0.3">
      <c r="B11" s="4" t="s">
        <v>26</v>
      </c>
      <c r="C11" s="5">
        <v>400000</v>
      </c>
    </row>
    <row r="12" spans="1:5" x14ac:dyDescent="0.3">
      <c r="B12" s="4" t="s">
        <v>29</v>
      </c>
      <c r="C12" s="5">
        <v>2000</v>
      </c>
    </row>
    <row r="13" spans="1:5" x14ac:dyDescent="0.3">
      <c r="B13" s="4" t="s">
        <v>15</v>
      </c>
      <c r="C13" s="5">
        <v>2852000</v>
      </c>
    </row>
  </sheetData>
  <conditionalFormatting sqref="C2:C6">
    <cfRule type="cellIs" dxfId="14" priority="1" operator="lessThan">
      <formula>30</formula>
    </cfRule>
  </conditionalFormatting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 Summary</vt:lpstr>
      <vt:lpstr>Employee Performance</vt:lpstr>
      <vt:lpstr>Shop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tamim</dc:creator>
  <cp:lastModifiedBy>md tamim</cp:lastModifiedBy>
  <dcterms:created xsi:type="dcterms:W3CDTF">2026-07-07T19:26:32Z</dcterms:created>
  <dcterms:modified xsi:type="dcterms:W3CDTF">2026-07-07T20:53:50Z</dcterms:modified>
</cp:coreProperties>
</file>