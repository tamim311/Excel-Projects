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d4387f77a682ea/Documents/"/>
    </mc:Choice>
  </mc:AlternateContent>
  <xr:revisionPtr revIDLastSave="1" documentId="8_{15C9EF02-FF7F-4F52-B8AB-ECEECD86F0FB}" xr6:coauthVersionLast="47" xr6:coauthVersionMax="47" xr10:uidLastSave="{6C2AA0CF-FA7E-4335-B493-2C2A17C7BC8D}"/>
  <bookViews>
    <workbookView xWindow="-108" yWindow="-108" windowWidth="23256" windowHeight="13896" xr2:uid="{E9B62341-3F62-4EB9-8ACE-AAC235E34E30}"/>
  </bookViews>
  <sheets>
    <sheet name="Working with Array" sheetId="2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 a="1"/>
  <c r="F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<sst xmlns="http://schemas.openxmlformats.org/spreadsheetml/2006/main" count="168" uniqueCount="67">
  <si>
    <t>Product</t>
  </si>
  <si>
    <t>Price</t>
  </si>
  <si>
    <t>Quantity</t>
  </si>
  <si>
    <t>Category</t>
  </si>
  <si>
    <t>Pen</t>
  </si>
  <si>
    <t>Stationery</t>
  </si>
  <si>
    <t>Book</t>
  </si>
  <si>
    <t>Bag</t>
  </si>
  <si>
    <t>Accessories</t>
  </si>
  <si>
    <t>Laptop</t>
  </si>
  <si>
    <t>Electronics</t>
  </si>
  <si>
    <t>Phone</t>
  </si>
  <si>
    <t>Charger</t>
  </si>
  <si>
    <t>Shoes</t>
  </si>
  <si>
    <t>Fashion</t>
  </si>
  <si>
    <t>Shirt</t>
  </si>
  <si>
    <t>Watch</t>
  </si>
  <si>
    <t>Bottle</t>
  </si>
  <si>
    <t>Revenue</t>
  </si>
  <si>
    <t>ID</t>
  </si>
  <si>
    <t>Notebook</t>
  </si>
  <si>
    <t>Backpack</t>
  </si>
  <si>
    <t>Headphones</t>
  </si>
  <si>
    <t>Mouse</t>
  </si>
  <si>
    <t>Keyboard</t>
  </si>
  <si>
    <t>Jacket</t>
  </si>
  <si>
    <t>Sunglasses</t>
  </si>
  <si>
    <t>Ring</t>
  </si>
  <si>
    <t>Umbrella</t>
  </si>
  <si>
    <t>Marker</t>
  </si>
  <si>
    <t>Eraser</t>
  </si>
  <si>
    <t>Glue</t>
  </si>
  <si>
    <t>Tablet</t>
  </si>
  <si>
    <t>Camera</t>
  </si>
  <si>
    <t>Tripod</t>
  </si>
  <si>
    <t>Dress</t>
  </si>
  <si>
    <t>Belt</t>
  </si>
  <si>
    <t>Cap</t>
  </si>
  <si>
    <t>Wallet</t>
  </si>
  <si>
    <t>Scissors</t>
  </si>
  <si>
    <t>Stapler</t>
  </si>
  <si>
    <t>Paper Pack</t>
  </si>
  <si>
    <t>Monitor</t>
  </si>
  <si>
    <t>Printer</t>
  </si>
  <si>
    <t>Speaker</t>
  </si>
  <si>
    <t>Jeans</t>
  </si>
  <si>
    <t>Socks</t>
  </si>
  <si>
    <t>Tie</t>
  </si>
  <si>
    <t>Gloves</t>
  </si>
  <si>
    <t>Pillow</t>
  </si>
  <si>
    <t>Blanket</t>
  </si>
  <si>
    <t>Lamp</t>
  </si>
  <si>
    <t>Fan</t>
  </si>
  <si>
    <t>AC</t>
  </si>
  <si>
    <t>TV</t>
  </si>
  <si>
    <t>Dress Shoes</t>
  </si>
  <si>
    <t>Perfume</t>
  </si>
  <si>
    <t>Necklace</t>
  </si>
  <si>
    <t>Cushion</t>
  </si>
  <si>
    <t>Mug</t>
  </si>
  <si>
    <t>Filter Fashion Items</t>
  </si>
  <si>
    <t>Row Labels</t>
  </si>
  <si>
    <t>(blank)</t>
  </si>
  <si>
    <t>Grand Total</t>
  </si>
  <si>
    <t>Sum of Price</t>
  </si>
  <si>
    <t>Sum of Quantity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</si>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</sst>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7.065204629631" createdVersion="8" refreshedVersion="8" minRefreshableVersion="3" recordCount="51" xr:uid="{2A97BCB9-3A4D-4E2C-92DA-901C0897437F}">
  <cacheSource type="worksheet">
    <worksheetSource ref="A1:K1048576" sheet="Working with Array"/>
  </cacheSource>
  <cacheFields count="11">
    <cacheField name="ID" numFmtId="0">
      <sharedItems containsString="0" containsBlank="1" containsNumber="1" containsInteger="1" minValue="1" maxValue="50"/>
    </cacheField>
    <cacheField name="Product" numFmtId="0">
      <sharedItems containsBlank="1" count="51">
        <s v="Pen"/>
        <s v="Book"/>
        <s v="Bag"/>
        <s v="Laptop"/>
        <s v="Phone"/>
        <s v="Charger"/>
        <s v="Shoes"/>
        <s v="Shirt"/>
        <s v="Watch"/>
        <s v="Bottle"/>
        <s v="Notebook"/>
        <s v="Backpack"/>
        <s v="Headphones"/>
        <s v="Mouse"/>
        <s v="Keyboard"/>
        <s v="Jacket"/>
        <s v="Sunglasses"/>
        <s v="Ring"/>
        <s v="Umbrella"/>
        <s v="Marker"/>
        <s v="Eraser"/>
        <s v="Glue"/>
        <s v="Tablet"/>
        <s v="Camera"/>
        <s v="Tripod"/>
        <s v="Dress"/>
        <s v="Belt"/>
        <s v="Cap"/>
        <s v="Wallet"/>
        <s v="Scissors"/>
        <s v="Stapler"/>
        <s v="Paper Pack"/>
        <s v="Monitor"/>
        <s v="Printer"/>
        <s v="Speaker"/>
        <s v="Jeans"/>
        <s v="Socks"/>
        <s v="Tie"/>
        <s v="Gloves"/>
        <s v="Pillow"/>
        <s v="Blanket"/>
        <s v="Lamp"/>
        <s v="Fan"/>
        <s v="AC"/>
        <s v="TV"/>
        <s v="Dress Shoes"/>
        <s v="Perfume"/>
        <s v="Necklace"/>
        <s v="Cushion"/>
        <s v="Mug"/>
        <m/>
      </sharedItems>
    </cacheField>
    <cacheField name="Price" numFmtId="0">
      <sharedItems containsString="0" containsBlank="1" containsNumber="1" containsInteger="1" minValue="5" maxValue="55000"/>
    </cacheField>
    <cacheField name="Quantity" numFmtId="0">
      <sharedItems containsString="0" containsBlank="1" containsNumber="1" containsInteger="1" minValue="1" maxValue="30"/>
    </cacheField>
    <cacheField name="Category" numFmtId="0">
      <sharedItems containsBlank="1" count="5">
        <s v="Stationery"/>
        <s v="Accessories"/>
        <s v="Electronics"/>
        <s v="Fashion"/>
        <m/>
      </sharedItems>
    </cacheField>
    <cacheField name="Revenue" numFmtId="0">
      <sharedItems containsString="0" containsBlank="1" containsNumber="1" containsInteger="1" minValue="50" maxValue="150000"/>
    </cacheField>
    <cacheField name="Filter Fashion Items" numFmtId="0">
      <sharedItems containsString="0" containsBlank="1" containsNumber="1" containsInteger="1" minValue="1" maxValue="50"/>
    </cacheField>
    <cacheField name="Field8" caption="Field8" numFmtId="0">
      <sharedItems containsBlank="1"/>
    </cacheField>
    <cacheField name="Field9" caption="Field9" numFmtId="0">
      <sharedItems containsString="0" containsBlank="1" containsNumber="1" containsInteger="1" minValue="5" maxValue="55000"/>
    </cacheField>
    <cacheField name="Field10" caption="Field10" numFmtId="0">
      <sharedItems containsString="0" containsBlank="1" containsNumber="1" containsInteger="1" minValue="1" maxValue="30"/>
    </cacheField>
    <cacheField name="Field11" caption="Field1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x v="0"/>
    <n v="10"/>
    <n v="5"/>
    <x v="0"/>
    <n v="50"/>
    <n v="1"/>
    <s v="Pen"/>
    <n v="10"/>
    <n v="5"/>
    <s v="Stationery"/>
  </r>
  <r>
    <n v="2"/>
    <x v="1"/>
    <n v="50"/>
    <n v="2"/>
    <x v="0"/>
    <n v="100"/>
    <n v="2"/>
    <s v="Book"/>
    <n v="50"/>
    <n v="2"/>
    <s v="Stationery"/>
  </r>
  <r>
    <n v="3"/>
    <x v="2"/>
    <n v="200"/>
    <n v="1"/>
    <x v="1"/>
    <n v="200"/>
    <n v="3"/>
    <s v="Bag"/>
    <n v="200"/>
    <n v="1"/>
    <s v="Accessories"/>
  </r>
  <r>
    <n v="4"/>
    <x v="3"/>
    <n v="50000"/>
    <n v="3"/>
    <x v="2"/>
    <n v="150000"/>
    <n v="4"/>
    <s v="Laptop"/>
    <n v="50000"/>
    <n v="3"/>
    <s v="Electronics"/>
  </r>
  <r>
    <n v="5"/>
    <x v="4"/>
    <n v="30000"/>
    <n v="4"/>
    <x v="2"/>
    <n v="120000"/>
    <n v="5"/>
    <s v="Phone"/>
    <n v="30000"/>
    <n v="4"/>
    <s v="Electronics"/>
  </r>
  <r>
    <n v="6"/>
    <x v="5"/>
    <n v="1500"/>
    <n v="10"/>
    <x v="2"/>
    <n v="15000"/>
    <n v="6"/>
    <s v="Charger"/>
    <n v="1500"/>
    <n v="10"/>
    <s v="Electronics"/>
  </r>
  <r>
    <n v="7"/>
    <x v="6"/>
    <n v="2500"/>
    <n v="2"/>
    <x v="3"/>
    <n v="5000"/>
    <n v="7"/>
    <s v="Shoes"/>
    <n v="2500"/>
    <n v="2"/>
    <s v="Fashion"/>
  </r>
  <r>
    <n v="8"/>
    <x v="7"/>
    <n v="1200"/>
    <n v="6"/>
    <x v="3"/>
    <n v="7200"/>
    <n v="8"/>
    <s v="Shirt"/>
    <n v="1200"/>
    <n v="6"/>
    <s v="Fashion"/>
  </r>
  <r>
    <n v="9"/>
    <x v="8"/>
    <n v="7000"/>
    <n v="2"/>
    <x v="3"/>
    <n v="14000"/>
    <n v="9"/>
    <s v="Watch"/>
    <n v="7000"/>
    <n v="2"/>
    <s v="Fashion"/>
  </r>
  <r>
    <n v="10"/>
    <x v="9"/>
    <n v="300"/>
    <n v="8"/>
    <x v="1"/>
    <n v="2400"/>
    <n v="10"/>
    <s v="Bottle"/>
    <n v="300"/>
    <n v="8"/>
    <s v="Accessories"/>
  </r>
  <r>
    <n v="11"/>
    <x v="10"/>
    <n v="80"/>
    <n v="12"/>
    <x v="0"/>
    <n v="960"/>
    <n v="11"/>
    <s v="Notebook"/>
    <n v="80"/>
    <n v="12"/>
    <s v="Stationery"/>
  </r>
  <r>
    <n v="12"/>
    <x v="11"/>
    <n v="1500"/>
    <n v="5"/>
    <x v="1"/>
    <n v="7500"/>
    <n v="12"/>
    <s v="Backpack"/>
    <n v="1500"/>
    <n v="5"/>
    <s v="Accessories"/>
  </r>
  <r>
    <n v="13"/>
    <x v="12"/>
    <n v="8000"/>
    <n v="3"/>
    <x v="2"/>
    <n v="24000"/>
    <n v="13"/>
    <s v="Headphones"/>
    <n v="8000"/>
    <n v="3"/>
    <s v="Electronics"/>
  </r>
  <r>
    <n v="14"/>
    <x v="13"/>
    <n v="1200"/>
    <n v="7"/>
    <x v="2"/>
    <n v="8400"/>
    <n v="14"/>
    <s v="Mouse"/>
    <n v="1200"/>
    <n v="7"/>
    <s v="Electronics"/>
  </r>
  <r>
    <n v="15"/>
    <x v="14"/>
    <n v="2500"/>
    <n v="4"/>
    <x v="2"/>
    <n v="10000"/>
    <n v="15"/>
    <s v="Keyboard"/>
    <n v="2500"/>
    <n v="4"/>
    <s v="Electronics"/>
  </r>
  <r>
    <n v="16"/>
    <x v="15"/>
    <n v="3500"/>
    <n v="2"/>
    <x v="3"/>
    <n v="7000"/>
    <n v="16"/>
    <s v="Jacket"/>
    <n v="3500"/>
    <n v="2"/>
    <s v="Fashion"/>
  </r>
  <r>
    <n v="17"/>
    <x v="16"/>
    <n v="2000"/>
    <n v="3"/>
    <x v="3"/>
    <n v="6000"/>
    <n v="17"/>
    <s v="Sunglasses"/>
    <n v="2000"/>
    <n v="3"/>
    <s v="Fashion"/>
  </r>
  <r>
    <n v="18"/>
    <x v="17"/>
    <n v="5000"/>
    <n v="1"/>
    <x v="3"/>
    <n v="5000"/>
    <n v="18"/>
    <s v="Ring"/>
    <n v="5000"/>
    <n v="1"/>
    <s v="Fashion"/>
  </r>
  <r>
    <n v="19"/>
    <x v="18"/>
    <n v="400"/>
    <n v="6"/>
    <x v="1"/>
    <n v="2400"/>
    <n v="19"/>
    <s v="Umbrella"/>
    <n v="400"/>
    <n v="6"/>
    <s v="Accessories"/>
  </r>
  <r>
    <n v="20"/>
    <x v="19"/>
    <n v="20"/>
    <n v="15"/>
    <x v="0"/>
    <n v="300"/>
    <n v="20"/>
    <s v="Marker"/>
    <n v="20"/>
    <n v="15"/>
    <s v="Stationery"/>
  </r>
  <r>
    <n v="21"/>
    <x v="20"/>
    <n v="5"/>
    <n v="30"/>
    <x v="0"/>
    <n v="150"/>
    <n v="21"/>
    <s v="Eraser"/>
    <n v="5"/>
    <n v="30"/>
    <s v="Stationery"/>
  </r>
  <r>
    <n v="22"/>
    <x v="21"/>
    <n v="25"/>
    <n v="20"/>
    <x v="0"/>
    <n v="500"/>
    <n v="22"/>
    <s v="Glue"/>
    <n v="25"/>
    <n v="20"/>
    <s v="Stationery"/>
  </r>
  <r>
    <n v="23"/>
    <x v="22"/>
    <n v="25000"/>
    <n v="2"/>
    <x v="2"/>
    <n v="50000"/>
    <n v="23"/>
    <s v="Tablet"/>
    <n v="25000"/>
    <n v="2"/>
    <s v="Electronics"/>
  </r>
  <r>
    <n v="24"/>
    <x v="23"/>
    <n v="45000"/>
    <n v="1"/>
    <x v="2"/>
    <n v="45000"/>
    <n v="24"/>
    <s v="Camera"/>
    <n v="45000"/>
    <n v="1"/>
    <s v="Electronics"/>
  </r>
  <r>
    <n v="25"/>
    <x v="24"/>
    <n v="3000"/>
    <n v="2"/>
    <x v="2"/>
    <n v="6000"/>
    <n v="25"/>
    <s v="Tripod"/>
    <n v="3000"/>
    <n v="2"/>
    <s v="Electronics"/>
  </r>
  <r>
    <n v="26"/>
    <x v="25"/>
    <n v="4000"/>
    <n v="2"/>
    <x v="3"/>
    <n v="8000"/>
    <n v="26"/>
    <s v="Dress"/>
    <n v="4000"/>
    <n v="2"/>
    <s v="Fashion"/>
  </r>
  <r>
    <n v="27"/>
    <x v="26"/>
    <n v="800"/>
    <n v="5"/>
    <x v="3"/>
    <n v="4000"/>
    <n v="27"/>
    <s v="Belt"/>
    <n v="800"/>
    <n v="5"/>
    <s v="Fashion"/>
  </r>
  <r>
    <n v="28"/>
    <x v="27"/>
    <n v="500"/>
    <n v="7"/>
    <x v="3"/>
    <n v="3500"/>
    <n v="28"/>
    <s v="Cap"/>
    <n v="500"/>
    <n v="7"/>
    <s v="Fashion"/>
  </r>
  <r>
    <n v="29"/>
    <x v="28"/>
    <n v="1500"/>
    <n v="4"/>
    <x v="1"/>
    <n v="6000"/>
    <n v="29"/>
    <s v="Wallet"/>
    <n v="1500"/>
    <n v="4"/>
    <s v="Accessories"/>
  </r>
  <r>
    <n v="30"/>
    <x v="29"/>
    <n v="100"/>
    <n v="10"/>
    <x v="0"/>
    <n v="1000"/>
    <n v="30"/>
    <s v="Scissors"/>
    <n v="100"/>
    <n v="10"/>
    <s v="Stationery"/>
  </r>
  <r>
    <n v="31"/>
    <x v="30"/>
    <n v="250"/>
    <n v="6"/>
    <x v="0"/>
    <n v="1500"/>
    <n v="31"/>
    <s v="Stapler"/>
    <n v="250"/>
    <n v="6"/>
    <s v="Stationery"/>
  </r>
  <r>
    <n v="32"/>
    <x v="31"/>
    <n v="500"/>
    <n v="20"/>
    <x v="0"/>
    <n v="10000"/>
    <n v="32"/>
    <s v="Paper Pack"/>
    <n v="500"/>
    <n v="20"/>
    <s v="Stationery"/>
  </r>
  <r>
    <n v="33"/>
    <x v="32"/>
    <n v="15000"/>
    <n v="2"/>
    <x v="2"/>
    <n v="30000"/>
    <n v="33"/>
    <s v="Monitor"/>
    <n v="15000"/>
    <n v="2"/>
    <s v="Electronics"/>
  </r>
  <r>
    <n v="34"/>
    <x v="33"/>
    <n v="12000"/>
    <n v="1"/>
    <x v="2"/>
    <n v="12000"/>
    <n v="34"/>
    <s v="Printer"/>
    <n v="12000"/>
    <n v="1"/>
    <s v="Electronics"/>
  </r>
  <r>
    <n v="35"/>
    <x v="34"/>
    <n v="6000"/>
    <n v="3"/>
    <x v="2"/>
    <n v="18000"/>
    <n v="35"/>
    <s v="Speaker"/>
    <n v="6000"/>
    <n v="3"/>
    <s v="Electronics"/>
  </r>
  <r>
    <n v="36"/>
    <x v="35"/>
    <n v="2500"/>
    <n v="4"/>
    <x v="3"/>
    <n v="10000"/>
    <n v="36"/>
    <s v="Jeans"/>
    <n v="2500"/>
    <n v="4"/>
    <s v="Fashion"/>
  </r>
  <r>
    <n v="37"/>
    <x v="36"/>
    <n v="200"/>
    <n v="12"/>
    <x v="3"/>
    <n v="2400"/>
    <n v="37"/>
    <s v="Socks"/>
    <n v="200"/>
    <n v="12"/>
    <s v="Fashion"/>
  </r>
  <r>
    <n v="38"/>
    <x v="37"/>
    <n v="700"/>
    <n v="3"/>
    <x v="3"/>
    <n v="2100"/>
    <n v="38"/>
    <s v="Tie"/>
    <n v="700"/>
    <n v="3"/>
    <s v="Fashion"/>
  </r>
  <r>
    <n v="39"/>
    <x v="38"/>
    <n v="900"/>
    <n v="2"/>
    <x v="3"/>
    <n v="1800"/>
    <n v="39"/>
    <s v="Gloves"/>
    <n v="900"/>
    <n v="2"/>
    <s v="Fashion"/>
  </r>
  <r>
    <n v="40"/>
    <x v="39"/>
    <n v="600"/>
    <n v="5"/>
    <x v="1"/>
    <n v="3000"/>
    <n v="40"/>
    <s v="Pillow"/>
    <n v="600"/>
    <n v="5"/>
    <s v="Accessories"/>
  </r>
  <r>
    <n v="41"/>
    <x v="40"/>
    <n v="2000"/>
    <n v="2"/>
    <x v="1"/>
    <n v="4000"/>
    <n v="41"/>
    <s v="Blanket"/>
    <n v="2000"/>
    <n v="2"/>
    <s v="Accessories"/>
  </r>
  <r>
    <n v="42"/>
    <x v="41"/>
    <n v="3500"/>
    <n v="1"/>
    <x v="1"/>
    <n v="3500"/>
    <n v="42"/>
    <s v="Lamp"/>
    <n v="3500"/>
    <n v="1"/>
    <s v="Accessories"/>
  </r>
  <r>
    <n v="43"/>
    <x v="42"/>
    <n v="8000"/>
    <n v="2"/>
    <x v="2"/>
    <n v="16000"/>
    <n v="43"/>
    <s v="Fan"/>
    <n v="8000"/>
    <n v="2"/>
    <s v="Electronics"/>
  </r>
  <r>
    <n v="44"/>
    <x v="43"/>
    <n v="55000"/>
    <n v="1"/>
    <x v="2"/>
    <n v="55000"/>
    <n v="44"/>
    <s v="AC"/>
    <n v="55000"/>
    <n v="1"/>
    <s v="Electronics"/>
  </r>
  <r>
    <n v="45"/>
    <x v="44"/>
    <n v="40000"/>
    <n v="2"/>
    <x v="2"/>
    <n v="80000"/>
    <n v="45"/>
    <s v="TV"/>
    <n v="40000"/>
    <n v="2"/>
    <s v="Electronics"/>
  </r>
  <r>
    <n v="46"/>
    <x v="45"/>
    <n v="4500"/>
    <n v="1"/>
    <x v="3"/>
    <n v="4500"/>
    <n v="46"/>
    <s v="Dress Shoes"/>
    <n v="4500"/>
    <n v="1"/>
    <s v="Fashion"/>
  </r>
  <r>
    <n v="47"/>
    <x v="46"/>
    <n v="3000"/>
    <n v="2"/>
    <x v="3"/>
    <n v="6000"/>
    <n v="47"/>
    <s v="Perfume"/>
    <n v="3000"/>
    <n v="2"/>
    <s v="Fashion"/>
  </r>
  <r>
    <n v="48"/>
    <x v="47"/>
    <n v="7000"/>
    <n v="1"/>
    <x v="3"/>
    <n v="7000"/>
    <n v="48"/>
    <s v="Necklace"/>
    <n v="7000"/>
    <n v="1"/>
    <s v="Fashion"/>
  </r>
  <r>
    <n v="49"/>
    <x v="48"/>
    <n v="500"/>
    <n v="6"/>
    <x v="1"/>
    <n v="3000"/>
    <n v="49"/>
    <s v="Cushion"/>
    <n v="500"/>
    <n v="6"/>
    <s v="Accessories"/>
  </r>
  <r>
    <n v="50"/>
    <x v="49"/>
    <n v="250"/>
    <n v="10"/>
    <x v="1"/>
    <n v="2500"/>
    <n v="50"/>
    <s v="Mug"/>
    <n v="250"/>
    <n v="10"/>
    <s v="Accessories"/>
  </r>
  <r>
    <m/>
    <x v="50"/>
    <m/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E5B11-6702-4101-A966-B5E813F1BE2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P58" firstHeaderRow="0" firstDataRow="1" firstDataCol="1"/>
  <pivotFields count="11">
    <pivotField showAll="0"/>
    <pivotField axis="axisRow" showAll="0">
      <items count="52">
        <item x="43"/>
        <item x="11"/>
        <item x="2"/>
        <item x="26"/>
        <item x="40"/>
        <item x="1"/>
        <item x="9"/>
        <item x="23"/>
        <item x="27"/>
        <item x="5"/>
        <item x="48"/>
        <item x="25"/>
        <item x="45"/>
        <item x="20"/>
        <item x="42"/>
        <item x="38"/>
        <item x="21"/>
        <item x="12"/>
        <item x="15"/>
        <item x="35"/>
        <item x="14"/>
        <item x="41"/>
        <item x="3"/>
        <item x="19"/>
        <item x="32"/>
        <item x="13"/>
        <item x="49"/>
        <item x="47"/>
        <item x="10"/>
        <item x="31"/>
        <item x="0"/>
        <item x="46"/>
        <item x="4"/>
        <item x="39"/>
        <item x="33"/>
        <item x="17"/>
        <item x="29"/>
        <item x="7"/>
        <item x="6"/>
        <item x="36"/>
        <item x="34"/>
        <item x="30"/>
        <item x="16"/>
        <item x="22"/>
        <item x="37"/>
        <item x="24"/>
        <item x="44"/>
        <item x="18"/>
        <item x="28"/>
        <item x="8"/>
        <item x="50"/>
        <item t="default"/>
      </items>
    </pivotField>
    <pivotField dataField="1" showAll="0"/>
    <pivotField dataField="1" showAll="0"/>
    <pivotField axis="axisRow" showAll="0">
      <items count="6">
        <item x="1"/>
        <item x="2"/>
        <item x="3"/>
        <item x="0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4"/>
    <field x="1"/>
  </rowFields>
  <rowItems count="57">
    <i>
      <x/>
    </i>
    <i r="1">
      <x v="1"/>
    </i>
    <i r="1">
      <x v="2"/>
    </i>
    <i r="1">
      <x v="4"/>
    </i>
    <i r="1">
      <x v="6"/>
    </i>
    <i r="1">
      <x v="10"/>
    </i>
    <i r="1">
      <x v="21"/>
    </i>
    <i r="1">
      <x v="26"/>
    </i>
    <i r="1">
      <x v="33"/>
    </i>
    <i r="1">
      <x v="47"/>
    </i>
    <i r="1">
      <x v="48"/>
    </i>
    <i>
      <x v="1"/>
    </i>
    <i r="1">
      <x/>
    </i>
    <i r="1">
      <x v="7"/>
    </i>
    <i r="1">
      <x v="9"/>
    </i>
    <i r="1">
      <x v="14"/>
    </i>
    <i r="1">
      <x v="17"/>
    </i>
    <i r="1">
      <x v="20"/>
    </i>
    <i r="1">
      <x v="22"/>
    </i>
    <i r="1">
      <x v="24"/>
    </i>
    <i r="1">
      <x v="25"/>
    </i>
    <i r="1">
      <x v="32"/>
    </i>
    <i r="1">
      <x v="34"/>
    </i>
    <i r="1">
      <x v="40"/>
    </i>
    <i r="1">
      <x v="43"/>
    </i>
    <i r="1">
      <x v="45"/>
    </i>
    <i r="1">
      <x v="46"/>
    </i>
    <i>
      <x v="2"/>
    </i>
    <i r="1">
      <x v="3"/>
    </i>
    <i r="1">
      <x v="8"/>
    </i>
    <i r="1">
      <x v="11"/>
    </i>
    <i r="1">
      <x v="12"/>
    </i>
    <i r="1">
      <x v="15"/>
    </i>
    <i r="1">
      <x v="18"/>
    </i>
    <i r="1">
      <x v="19"/>
    </i>
    <i r="1">
      <x v="27"/>
    </i>
    <i r="1">
      <x v="31"/>
    </i>
    <i r="1">
      <x v="35"/>
    </i>
    <i r="1">
      <x v="37"/>
    </i>
    <i r="1">
      <x v="38"/>
    </i>
    <i r="1">
      <x v="39"/>
    </i>
    <i r="1">
      <x v="42"/>
    </i>
    <i r="1">
      <x v="44"/>
    </i>
    <i r="1">
      <x v="49"/>
    </i>
    <i>
      <x v="3"/>
    </i>
    <i r="1">
      <x v="5"/>
    </i>
    <i r="1">
      <x v="13"/>
    </i>
    <i r="1">
      <x v="16"/>
    </i>
    <i r="1">
      <x v="23"/>
    </i>
    <i r="1">
      <x v="28"/>
    </i>
    <i r="1">
      <x v="29"/>
    </i>
    <i r="1">
      <x v="30"/>
    </i>
    <i r="1">
      <x v="36"/>
    </i>
    <i r="1">
      <x v="41"/>
    </i>
    <i>
      <x v="4"/>
    </i>
    <i r="1"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2" baseField="0" baseItem="0"/>
    <dataField name="Sum of Quantity" fld="3" baseField="0" baseItem="0"/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ECC3-5C48-4524-87F1-C98CEC22F83E}">
  <dimension ref="A1:P58"/>
  <sheetViews>
    <sheetView tabSelected="1" topLeftCell="A8" zoomScale="62" zoomScaleNormal="100" workbookViewId="0">
      <selection activeCell="M1" sqref="M1"/>
    </sheetView>
  </sheetViews>
  <sheetFormatPr defaultRowHeight="14.4" x14ac:dyDescent="0.3"/>
  <cols>
    <col min="11" max="11" width="13.33203125" customWidth="1"/>
    <col min="12" max="12" width="8.88671875" customWidth="1"/>
    <col min="13" max="13" width="17.6640625" bestFit="1" customWidth="1"/>
    <col min="14" max="14" width="16.109375" bestFit="1" customWidth="1"/>
    <col min="15" max="15" width="19.77734375" bestFit="1" customWidth="1"/>
    <col min="16" max="16" width="20" bestFit="1" customWidth="1"/>
    <col min="17" max="17" width="12.44140625" bestFit="1" customWidth="1"/>
    <col min="18" max="18" width="7" bestFit="1" customWidth="1"/>
    <col min="19" max="19" width="10.5546875" bestFit="1" customWidth="1"/>
  </cols>
  <sheetData>
    <row r="1" spans="1:16" ht="43.2" customHeight="1" x14ac:dyDescent="0.3">
      <c r="A1" s="4" t="s">
        <v>19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18</v>
      </c>
      <c r="G1" s="5" t="s">
        <v>60</v>
      </c>
      <c r="H1" s="5"/>
      <c r="I1" s="5"/>
      <c r="J1" s="5"/>
      <c r="K1" s="5"/>
      <c r="L1" s="3"/>
      <c r="M1" s="8" t="s">
        <v>61</v>
      </c>
      <c r="N1" t="s">
        <v>64</v>
      </c>
      <c r="O1" t="s">
        <v>65</v>
      </c>
      <c r="P1" t="s">
        <v>66</v>
      </c>
    </row>
    <row r="2" spans="1:16" ht="28.8" x14ac:dyDescent="0.3">
      <c r="A2" s="4">
        <v>1</v>
      </c>
      <c r="B2" s="6" t="s">
        <v>4</v>
      </c>
      <c r="C2" s="6">
        <v>10</v>
      </c>
      <c r="D2" s="6">
        <v>5</v>
      </c>
      <c r="E2" s="6" t="s">
        <v>5</v>
      </c>
      <c r="F2" s="7" cm="1">
        <f t="array" ref="F2:F51">C2:C51*D2:D51</f>
        <v>50</v>
      </c>
      <c r="G2" s="7" cm="1">
        <f t="array" ref="G2:K51">_xlfn._xlws.FILTER(A2:E51,D2:D51,"Fashion")</f>
        <v>1</v>
      </c>
      <c r="H2" s="7" t="str">
        <v>Pen</v>
      </c>
      <c r="I2" s="7">
        <v>10</v>
      </c>
      <c r="J2" s="7">
        <v>5</v>
      </c>
      <c r="K2" s="7" t="str">
        <v>Stationery</v>
      </c>
      <c r="M2" s="2" t="s">
        <v>8</v>
      </c>
      <c r="N2" s="9">
        <v>10750</v>
      </c>
      <c r="O2" s="9">
        <v>48</v>
      </c>
      <c r="P2" s="9">
        <v>34500</v>
      </c>
    </row>
    <row r="3" spans="1:16" ht="28.8" x14ac:dyDescent="0.3">
      <c r="A3" s="4">
        <v>2</v>
      </c>
      <c r="B3" s="6" t="s">
        <v>6</v>
      </c>
      <c r="C3" s="6">
        <v>50</v>
      </c>
      <c r="D3" s="6">
        <v>2</v>
      </c>
      <c r="E3" s="6" t="s">
        <v>5</v>
      </c>
      <c r="F3" s="7">
        <v>100</v>
      </c>
      <c r="G3" s="7">
        <v>2</v>
      </c>
      <c r="H3" s="7" t="str">
        <v>Book</v>
      </c>
      <c r="I3" s="7">
        <v>50</v>
      </c>
      <c r="J3" s="7">
        <v>2</v>
      </c>
      <c r="K3" s="7" t="str">
        <v>Stationery</v>
      </c>
      <c r="M3" s="1" t="s">
        <v>21</v>
      </c>
      <c r="N3" s="9">
        <v>1500</v>
      </c>
      <c r="O3" s="9">
        <v>5</v>
      </c>
      <c r="P3" s="9">
        <v>7500</v>
      </c>
    </row>
    <row r="4" spans="1:16" ht="28.8" x14ac:dyDescent="0.3">
      <c r="A4" s="4">
        <v>3</v>
      </c>
      <c r="B4" s="6" t="s">
        <v>7</v>
      </c>
      <c r="C4" s="6">
        <v>200</v>
      </c>
      <c r="D4" s="6">
        <v>1</v>
      </c>
      <c r="E4" s="6" t="s">
        <v>8</v>
      </c>
      <c r="F4" s="7">
        <v>200</v>
      </c>
      <c r="G4" s="7">
        <v>3</v>
      </c>
      <c r="H4" s="7" t="str">
        <v>Bag</v>
      </c>
      <c r="I4" s="7">
        <v>200</v>
      </c>
      <c r="J4" s="7">
        <v>1</v>
      </c>
      <c r="K4" s="7" t="str">
        <v>Accessories</v>
      </c>
      <c r="M4" s="1" t="s">
        <v>7</v>
      </c>
      <c r="N4" s="9">
        <v>200</v>
      </c>
      <c r="O4" s="9">
        <v>1</v>
      </c>
      <c r="P4" s="9">
        <v>200</v>
      </c>
    </row>
    <row r="5" spans="1:16" ht="28.8" x14ac:dyDescent="0.3">
      <c r="A5" s="4">
        <v>4</v>
      </c>
      <c r="B5" s="6" t="s">
        <v>9</v>
      </c>
      <c r="C5" s="6">
        <v>50000</v>
      </c>
      <c r="D5" s="6">
        <v>3</v>
      </c>
      <c r="E5" s="6" t="s">
        <v>10</v>
      </c>
      <c r="F5" s="7">
        <v>150000</v>
      </c>
      <c r="G5" s="7">
        <v>4</v>
      </c>
      <c r="H5" s="7" t="str">
        <v>Laptop</v>
      </c>
      <c r="I5" s="7">
        <v>50000</v>
      </c>
      <c r="J5" s="7">
        <v>3</v>
      </c>
      <c r="K5" s="7" t="str">
        <v>Electronics</v>
      </c>
      <c r="M5" s="1" t="s">
        <v>50</v>
      </c>
      <c r="N5" s="9">
        <v>2000</v>
      </c>
      <c r="O5" s="9">
        <v>2</v>
      </c>
      <c r="P5" s="9">
        <v>4000</v>
      </c>
    </row>
    <row r="6" spans="1:16" ht="28.8" x14ac:dyDescent="0.3">
      <c r="A6" s="4">
        <v>5</v>
      </c>
      <c r="B6" s="6" t="s">
        <v>11</v>
      </c>
      <c r="C6" s="6">
        <v>30000</v>
      </c>
      <c r="D6" s="6">
        <v>4</v>
      </c>
      <c r="E6" s="6" t="s">
        <v>10</v>
      </c>
      <c r="F6" s="7">
        <v>120000</v>
      </c>
      <c r="G6" s="7">
        <v>5</v>
      </c>
      <c r="H6" s="7" t="str">
        <v>Phone</v>
      </c>
      <c r="I6" s="7">
        <v>30000</v>
      </c>
      <c r="J6" s="7">
        <v>4</v>
      </c>
      <c r="K6" s="7" t="str">
        <v>Electronics</v>
      </c>
      <c r="M6" s="1" t="s">
        <v>17</v>
      </c>
      <c r="N6" s="9">
        <v>300</v>
      </c>
      <c r="O6" s="9">
        <v>8</v>
      </c>
      <c r="P6" s="9">
        <v>2400</v>
      </c>
    </row>
    <row r="7" spans="1:16" ht="28.8" x14ac:dyDescent="0.3">
      <c r="A7" s="4">
        <v>6</v>
      </c>
      <c r="B7" s="6" t="s">
        <v>12</v>
      </c>
      <c r="C7" s="6">
        <v>1500</v>
      </c>
      <c r="D7" s="6">
        <v>10</v>
      </c>
      <c r="E7" s="6" t="s">
        <v>10</v>
      </c>
      <c r="F7" s="7">
        <v>15000</v>
      </c>
      <c r="G7" s="7">
        <v>6</v>
      </c>
      <c r="H7" s="7" t="str">
        <v>Charger</v>
      </c>
      <c r="I7" s="7">
        <v>1500</v>
      </c>
      <c r="J7" s="7">
        <v>10</v>
      </c>
      <c r="K7" s="7" t="str">
        <v>Electronics</v>
      </c>
      <c r="M7" s="1" t="s">
        <v>58</v>
      </c>
      <c r="N7" s="9">
        <v>500</v>
      </c>
      <c r="O7" s="9">
        <v>6</v>
      </c>
      <c r="P7" s="9">
        <v>3000</v>
      </c>
    </row>
    <row r="8" spans="1:16" x14ac:dyDescent="0.3">
      <c r="A8" s="4">
        <v>7</v>
      </c>
      <c r="B8" s="6" t="s">
        <v>13</v>
      </c>
      <c r="C8" s="6">
        <v>2500</v>
      </c>
      <c r="D8" s="6">
        <v>2</v>
      </c>
      <c r="E8" s="6" t="s">
        <v>14</v>
      </c>
      <c r="F8" s="7">
        <v>5000</v>
      </c>
      <c r="G8" s="7">
        <v>7</v>
      </c>
      <c r="H8" s="7" t="str">
        <v>Shoes</v>
      </c>
      <c r="I8" s="7">
        <v>2500</v>
      </c>
      <c r="J8" s="7">
        <v>2</v>
      </c>
      <c r="K8" s="7" t="str">
        <v>Fashion</v>
      </c>
      <c r="M8" s="1" t="s">
        <v>51</v>
      </c>
      <c r="N8" s="9">
        <v>3500</v>
      </c>
      <c r="O8" s="9">
        <v>1</v>
      </c>
      <c r="P8" s="9">
        <v>3500</v>
      </c>
    </row>
    <row r="9" spans="1:16" x14ac:dyDescent="0.3">
      <c r="A9" s="4">
        <v>8</v>
      </c>
      <c r="B9" s="6" t="s">
        <v>15</v>
      </c>
      <c r="C9" s="6">
        <v>1200</v>
      </c>
      <c r="D9" s="6">
        <v>6</v>
      </c>
      <c r="E9" s="6" t="s">
        <v>14</v>
      </c>
      <c r="F9" s="7">
        <v>7200</v>
      </c>
      <c r="G9" s="7">
        <v>8</v>
      </c>
      <c r="H9" s="7" t="str">
        <v>Shirt</v>
      </c>
      <c r="I9" s="7">
        <v>1200</v>
      </c>
      <c r="J9" s="7">
        <v>6</v>
      </c>
      <c r="K9" s="7" t="str">
        <v>Fashion</v>
      </c>
      <c r="M9" s="1" t="s">
        <v>59</v>
      </c>
      <c r="N9" s="9">
        <v>250</v>
      </c>
      <c r="O9" s="9">
        <v>10</v>
      </c>
      <c r="P9" s="9">
        <v>2500</v>
      </c>
    </row>
    <row r="10" spans="1:16" x14ac:dyDescent="0.3">
      <c r="A10" s="4">
        <v>9</v>
      </c>
      <c r="B10" s="6" t="s">
        <v>16</v>
      </c>
      <c r="C10" s="6">
        <v>7000</v>
      </c>
      <c r="D10" s="6">
        <v>2</v>
      </c>
      <c r="E10" s="6" t="s">
        <v>14</v>
      </c>
      <c r="F10" s="7">
        <v>14000</v>
      </c>
      <c r="G10" s="7">
        <v>9</v>
      </c>
      <c r="H10" s="7" t="str">
        <v>Watch</v>
      </c>
      <c r="I10" s="7">
        <v>7000</v>
      </c>
      <c r="J10" s="7">
        <v>2</v>
      </c>
      <c r="K10" s="7" t="str">
        <v>Fashion</v>
      </c>
      <c r="M10" s="1" t="s">
        <v>49</v>
      </c>
      <c r="N10" s="9">
        <v>600</v>
      </c>
      <c r="O10" s="9">
        <v>5</v>
      </c>
      <c r="P10" s="9">
        <v>3000</v>
      </c>
    </row>
    <row r="11" spans="1:16" ht="28.8" x14ac:dyDescent="0.3">
      <c r="A11" s="4">
        <v>10</v>
      </c>
      <c r="B11" s="6" t="s">
        <v>17</v>
      </c>
      <c r="C11" s="6">
        <v>300</v>
      </c>
      <c r="D11" s="6">
        <v>8</v>
      </c>
      <c r="E11" s="6" t="s">
        <v>8</v>
      </c>
      <c r="F11" s="7">
        <v>2400</v>
      </c>
      <c r="G11" s="7">
        <v>10</v>
      </c>
      <c r="H11" s="7" t="str">
        <v>Bottle</v>
      </c>
      <c r="I11" s="7">
        <v>300</v>
      </c>
      <c r="J11" s="7">
        <v>8</v>
      </c>
      <c r="K11" s="7" t="str">
        <v>Accessories</v>
      </c>
      <c r="M11" s="1" t="s">
        <v>28</v>
      </c>
      <c r="N11" s="9">
        <v>400</v>
      </c>
      <c r="O11" s="9">
        <v>6</v>
      </c>
      <c r="P11" s="9">
        <v>2400</v>
      </c>
    </row>
    <row r="12" spans="1:16" ht="28.8" x14ac:dyDescent="0.3">
      <c r="A12" s="4">
        <v>11</v>
      </c>
      <c r="B12" s="6" t="s">
        <v>20</v>
      </c>
      <c r="C12" s="6">
        <v>80</v>
      </c>
      <c r="D12" s="6">
        <v>12</v>
      </c>
      <c r="E12" s="6" t="s">
        <v>5</v>
      </c>
      <c r="F12" s="7">
        <v>960</v>
      </c>
      <c r="G12" s="7">
        <v>11</v>
      </c>
      <c r="H12" s="7" t="str">
        <v>Notebook</v>
      </c>
      <c r="I12" s="7">
        <v>80</v>
      </c>
      <c r="J12" s="7">
        <v>12</v>
      </c>
      <c r="K12" s="7" t="str">
        <v>Stationery</v>
      </c>
      <c r="M12" s="1" t="s">
        <v>38</v>
      </c>
      <c r="N12" s="9">
        <v>1500</v>
      </c>
      <c r="O12" s="9">
        <v>4</v>
      </c>
      <c r="P12" s="9">
        <v>6000</v>
      </c>
    </row>
    <row r="13" spans="1:16" ht="28.8" x14ac:dyDescent="0.3">
      <c r="A13" s="4">
        <v>12</v>
      </c>
      <c r="B13" s="6" t="s">
        <v>21</v>
      </c>
      <c r="C13" s="6">
        <v>1500</v>
      </c>
      <c r="D13" s="6">
        <v>5</v>
      </c>
      <c r="E13" s="6" t="s">
        <v>8</v>
      </c>
      <c r="F13" s="7">
        <v>7500</v>
      </c>
      <c r="G13" s="7">
        <v>12</v>
      </c>
      <c r="H13" s="7" t="str">
        <v>Backpack</v>
      </c>
      <c r="I13" s="7">
        <v>1500</v>
      </c>
      <c r="J13" s="7">
        <v>5</v>
      </c>
      <c r="K13" s="7" t="str">
        <v>Accessories</v>
      </c>
      <c r="M13" s="2" t="s">
        <v>10</v>
      </c>
      <c r="N13" s="9">
        <v>302200</v>
      </c>
      <c r="O13" s="9">
        <v>47</v>
      </c>
      <c r="P13" s="9">
        <v>639400</v>
      </c>
    </row>
    <row r="14" spans="1:16" ht="28.8" x14ac:dyDescent="0.3">
      <c r="A14" s="4">
        <v>13</v>
      </c>
      <c r="B14" s="6" t="s">
        <v>22</v>
      </c>
      <c r="C14" s="6">
        <v>8000</v>
      </c>
      <c r="D14" s="6">
        <v>3</v>
      </c>
      <c r="E14" s="6" t="s">
        <v>10</v>
      </c>
      <c r="F14" s="7">
        <v>24000</v>
      </c>
      <c r="G14" s="7">
        <v>13</v>
      </c>
      <c r="H14" s="7" t="str">
        <v>Headphones</v>
      </c>
      <c r="I14" s="7">
        <v>8000</v>
      </c>
      <c r="J14" s="7">
        <v>3</v>
      </c>
      <c r="K14" s="7" t="str">
        <v>Electronics</v>
      </c>
      <c r="M14" s="1" t="s">
        <v>53</v>
      </c>
      <c r="N14" s="9">
        <v>55000</v>
      </c>
      <c r="O14" s="9">
        <v>1</v>
      </c>
      <c r="P14" s="9">
        <v>55000</v>
      </c>
    </row>
    <row r="15" spans="1:16" ht="28.8" x14ac:dyDescent="0.3">
      <c r="A15" s="4">
        <v>14</v>
      </c>
      <c r="B15" s="6" t="s">
        <v>23</v>
      </c>
      <c r="C15" s="6">
        <v>1200</v>
      </c>
      <c r="D15" s="6">
        <v>7</v>
      </c>
      <c r="E15" s="6" t="s">
        <v>10</v>
      </c>
      <c r="F15" s="7">
        <v>8400</v>
      </c>
      <c r="G15" s="7">
        <v>14</v>
      </c>
      <c r="H15" s="7" t="str">
        <v>Mouse</v>
      </c>
      <c r="I15" s="7">
        <v>1200</v>
      </c>
      <c r="J15" s="7">
        <v>7</v>
      </c>
      <c r="K15" s="7" t="str">
        <v>Electronics</v>
      </c>
      <c r="M15" s="1" t="s">
        <v>33</v>
      </c>
      <c r="N15" s="9">
        <v>45000</v>
      </c>
      <c r="O15" s="9">
        <v>1</v>
      </c>
      <c r="P15" s="9">
        <v>45000</v>
      </c>
    </row>
    <row r="16" spans="1:16" ht="28.8" x14ac:dyDescent="0.3">
      <c r="A16" s="4">
        <v>15</v>
      </c>
      <c r="B16" s="6" t="s">
        <v>24</v>
      </c>
      <c r="C16" s="6">
        <v>2500</v>
      </c>
      <c r="D16" s="6">
        <v>4</v>
      </c>
      <c r="E16" s="6" t="s">
        <v>10</v>
      </c>
      <c r="F16" s="7">
        <v>10000</v>
      </c>
      <c r="G16" s="7">
        <v>15</v>
      </c>
      <c r="H16" s="7" t="str">
        <v>Keyboard</v>
      </c>
      <c r="I16" s="7">
        <v>2500</v>
      </c>
      <c r="J16" s="7">
        <v>4</v>
      </c>
      <c r="K16" s="7" t="str">
        <v>Electronics</v>
      </c>
      <c r="M16" s="1" t="s">
        <v>12</v>
      </c>
      <c r="N16" s="9">
        <v>1500</v>
      </c>
      <c r="O16" s="9">
        <v>10</v>
      </c>
      <c r="P16" s="9">
        <v>15000</v>
      </c>
    </row>
    <row r="17" spans="1:16" x14ac:dyDescent="0.3">
      <c r="A17" s="4">
        <v>16</v>
      </c>
      <c r="B17" s="6" t="s">
        <v>25</v>
      </c>
      <c r="C17" s="6">
        <v>3500</v>
      </c>
      <c r="D17" s="6">
        <v>2</v>
      </c>
      <c r="E17" s="6" t="s">
        <v>14</v>
      </c>
      <c r="F17" s="7">
        <v>7000</v>
      </c>
      <c r="G17" s="7">
        <v>16</v>
      </c>
      <c r="H17" s="7" t="str">
        <v>Jacket</v>
      </c>
      <c r="I17" s="7">
        <v>3500</v>
      </c>
      <c r="J17" s="7">
        <v>2</v>
      </c>
      <c r="K17" s="7" t="str">
        <v>Fashion</v>
      </c>
      <c r="M17" s="1" t="s">
        <v>52</v>
      </c>
      <c r="N17" s="9">
        <v>8000</v>
      </c>
      <c r="O17" s="9">
        <v>2</v>
      </c>
      <c r="P17" s="9">
        <v>16000</v>
      </c>
    </row>
    <row r="18" spans="1:16" ht="28.8" x14ac:dyDescent="0.3">
      <c r="A18" s="4">
        <v>17</v>
      </c>
      <c r="B18" s="6" t="s">
        <v>26</v>
      </c>
      <c r="C18" s="6">
        <v>2000</v>
      </c>
      <c r="D18" s="6">
        <v>3</v>
      </c>
      <c r="E18" s="6" t="s">
        <v>14</v>
      </c>
      <c r="F18" s="7">
        <v>6000</v>
      </c>
      <c r="G18" s="7">
        <v>17</v>
      </c>
      <c r="H18" s="7" t="str">
        <v>Sunglasses</v>
      </c>
      <c r="I18" s="7">
        <v>2000</v>
      </c>
      <c r="J18" s="7">
        <v>3</v>
      </c>
      <c r="K18" s="7" t="str">
        <v>Fashion</v>
      </c>
      <c r="M18" s="1" t="s">
        <v>22</v>
      </c>
      <c r="N18" s="9">
        <v>8000</v>
      </c>
      <c r="O18" s="9">
        <v>3</v>
      </c>
      <c r="P18" s="9">
        <v>24000</v>
      </c>
    </row>
    <row r="19" spans="1:16" x14ac:dyDescent="0.3">
      <c r="A19" s="4">
        <v>18</v>
      </c>
      <c r="B19" s="6" t="s">
        <v>27</v>
      </c>
      <c r="C19" s="6">
        <v>5000</v>
      </c>
      <c r="D19" s="6">
        <v>1</v>
      </c>
      <c r="E19" s="6" t="s">
        <v>14</v>
      </c>
      <c r="F19" s="7">
        <v>5000</v>
      </c>
      <c r="G19" s="7">
        <v>18</v>
      </c>
      <c r="H19" s="7" t="str">
        <v>Ring</v>
      </c>
      <c r="I19" s="7">
        <v>5000</v>
      </c>
      <c r="J19" s="7">
        <v>1</v>
      </c>
      <c r="K19" s="7" t="str">
        <v>Fashion</v>
      </c>
      <c r="M19" s="1" t="s">
        <v>24</v>
      </c>
      <c r="N19" s="9">
        <v>2500</v>
      </c>
      <c r="O19" s="9">
        <v>4</v>
      </c>
      <c r="P19" s="9">
        <v>10000</v>
      </c>
    </row>
    <row r="20" spans="1:16" ht="28.8" x14ac:dyDescent="0.3">
      <c r="A20" s="4">
        <v>19</v>
      </c>
      <c r="B20" s="6" t="s">
        <v>28</v>
      </c>
      <c r="C20" s="6">
        <v>400</v>
      </c>
      <c r="D20" s="6">
        <v>6</v>
      </c>
      <c r="E20" s="6" t="s">
        <v>8</v>
      </c>
      <c r="F20" s="7">
        <v>2400</v>
      </c>
      <c r="G20" s="7">
        <v>19</v>
      </c>
      <c r="H20" s="7" t="str">
        <v>Umbrella</v>
      </c>
      <c r="I20" s="7">
        <v>400</v>
      </c>
      <c r="J20" s="7">
        <v>6</v>
      </c>
      <c r="K20" s="7" t="str">
        <v>Accessories</v>
      </c>
      <c r="M20" s="1" t="s">
        <v>9</v>
      </c>
      <c r="N20" s="9">
        <v>50000</v>
      </c>
      <c r="O20" s="9">
        <v>3</v>
      </c>
      <c r="P20" s="9">
        <v>150000</v>
      </c>
    </row>
    <row r="21" spans="1:16" ht="28.8" x14ac:dyDescent="0.3">
      <c r="A21" s="4">
        <v>20</v>
      </c>
      <c r="B21" s="6" t="s">
        <v>29</v>
      </c>
      <c r="C21" s="6">
        <v>20</v>
      </c>
      <c r="D21" s="6">
        <v>15</v>
      </c>
      <c r="E21" s="6" t="s">
        <v>5</v>
      </c>
      <c r="F21" s="7">
        <v>300</v>
      </c>
      <c r="G21" s="7">
        <v>20</v>
      </c>
      <c r="H21" s="7" t="str">
        <v>Marker</v>
      </c>
      <c r="I21" s="7">
        <v>20</v>
      </c>
      <c r="J21" s="7">
        <v>15</v>
      </c>
      <c r="K21" s="7" t="str">
        <v>Stationery</v>
      </c>
      <c r="M21" s="1" t="s">
        <v>42</v>
      </c>
      <c r="N21" s="9">
        <v>15000</v>
      </c>
      <c r="O21" s="9">
        <v>2</v>
      </c>
      <c r="P21" s="9">
        <v>30000</v>
      </c>
    </row>
    <row r="22" spans="1:16" ht="28.8" x14ac:dyDescent="0.3">
      <c r="A22" s="4">
        <v>21</v>
      </c>
      <c r="B22" s="6" t="s">
        <v>30</v>
      </c>
      <c r="C22" s="6">
        <v>5</v>
      </c>
      <c r="D22" s="6">
        <v>30</v>
      </c>
      <c r="E22" s="6" t="s">
        <v>5</v>
      </c>
      <c r="F22" s="7">
        <v>150</v>
      </c>
      <c r="G22" s="7">
        <v>21</v>
      </c>
      <c r="H22" s="7" t="str">
        <v>Eraser</v>
      </c>
      <c r="I22" s="7">
        <v>5</v>
      </c>
      <c r="J22" s="7">
        <v>30</v>
      </c>
      <c r="K22" s="7" t="str">
        <v>Stationery</v>
      </c>
      <c r="M22" s="1" t="s">
        <v>23</v>
      </c>
      <c r="N22" s="9">
        <v>1200</v>
      </c>
      <c r="O22" s="9">
        <v>7</v>
      </c>
      <c r="P22" s="9">
        <v>8400</v>
      </c>
    </row>
    <row r="23" spans="1:16" ht="28.8" x14ac:dyDescent="0.3">
      <c r="A23" s="4">
        <v>22</v>
      </c>
      <c r="B23" s="6" t="s">
        <v>31</v>
      </c>
      <c r="C23" s="6">
        <v>25</v>
      </c>
      <c r="D23" s="6">
        <v>20</v>
      </c>
      <c r="E23" s="6" t="s">
        <v>5</v>
      </c>
      <c r="F23" s="7">
        <v>500</v>
      </c>
      <c r="G23" s="7">
        <v>22</v>
      </c>
      <c r="H23" s="7" t="str">
        <v>Glue</v>
      </c>
      <c r="I23" s="7">
        <v>25</v>
      </c>
      <c r="J23" s="7">
        <v>20</v>
      </c>
      <c r="K23" s="7" t="str">
        <v>Stationery</v>
      </c>
      <c r="M23" s="1" t="s">
        <v>11</v>
      </c>
      <c r="N23" s="9">
        <v>30000</v>
      </c>
      <c r="O23" s="9">
        <v>4</v>
      </c>
      <c r="P23" s="9">
        <v>120000</v>
      </c>
    </row>
    <row r="24" spans="1:16" ht="28.8" x14ac:dyDescent="0.3">
      <c r="A24" s="4">
        <v>23</v>
      </c>
      <c r="B24" s="6" t="s">
        <v>32</v>
      </c>
      <c r="C24" s="6">
        <v>25000</v>
      </c>
      <c r="D24" s="6">
        <v>2</v>
      </c>
      <c r="E24" s="6" t="s">
        <v>10</v>
      </c>
      <c r="F24" s="7">
        <v>50000</v>
      </c>
      <c r="G24" s="7">
        <v>23</v>
      </c>
      <c r="H24" s="7" t="str">
        <v>Tablet</v>
      </c>
      <c r="I24" s="7">
        <v>25000</v>
      </c>
      <c r="J24" s="7">
        <v>2</v>
      </c>
      <c r="K24" s="7" t="str">
        <v>Electronics</v>
      </c>
      <c r="M24" s="1" t="s">
        <v>43</v>
      </c>
      <c r="N24" s="9">
        <v>12000</v>
      </c>
      <c r="O24" s="9">
        <v>1</v>
      </c>
      <c r="P24" s="9">
        <v>12000</v>
      </c>
    </row>
    <row r="25" spans="1:16" ht="28.8" x14ac:dyDescent="0.3">
      <c r="A25" s="4">
        <v>24</v>
      </c>
      <c r="B25" s="6" t="s">
        <v>33</v>
      </c>
      <c r="C25" s="6">
        <v>45000</v>
      </c>
      <c r="D25" s="6">
        <v>1</v>
      </c>
      <c r="E25" s="6" t="s">
        <v>10</v>
      </c>
      <c r="F25" s="7">
        <v>45000</v>
      </c>
      <c r="G25" s="7">
        <v>24</v>
      </c>
      <c r="H25" s="7" t="str">
        <v>Camera</v>
      </c>
      <c r="I25" s="7">
        <v>45000</v>
      </c>
      <c r="J25" s="7">
        <v>1</v>
      </c>
      <c r="K25" s="7" t="str">
        <v>Electronics</v>
      </c>
      <c r="M25" s="1" t="s">
        <v>44</v>
      </c>
      <c r="N25" s="9">
        <v>6000</v>
      </c>
      <c r="O25" s="9">
        <v>3</v>
      </c>
      <c r="P25" s="9">
        <v>18000</v>
      </c>
    </row>
    <row r="26" spans="1:16" ht="28.8" x14ac:dyDescent="0.3">
      <c r="A26" s="4">
        <v>25</v>
      </c>
      <c r="B26" s="6" t="s">
        <v>34</v>
      </c>
      <c r="C26" s="6">
        <v>3000</v>
      </c>
      <c r="D26" s="6">
        <v>2</v>
      </c>
      <c r="E26" s="6" t="s">
        <v>10</v>
      </c>
      <c r="F26" s="7">
        <v>6000</v>
      </c>
      <c r="G26" s="7">
        <v>25</v>
      </c>
      <c r="H26" s="7" t="str">
        <v>Tripod</v>
      </c>
      <c r="I26" s="7">
        <v>3000</v>
      </c>
      <c r="J26" s="7">
        <v>2</v>
      </c>
      <c r="K26" s="7" t="str">
        <v>Electronics</v>
      </c>
      <c r="M26" s="1" t="s">
        <v>32</v>
      </c>
      <c r="N26" s="9">
        <v>25000</v>
      </c>
      <c r="O26" s="9">
        <v>2</v>
      </c>
      <c r="P26" s="9">
        <v>50000</v>
      </c>
    </row>
    <row r="27" spans="1:16" x14ac:dyDescent="0.3">
      <c r="A27" s="4">
        <v>26</v>
      </c>
      <c r="B27" s="6" t="s">
        <v>35</v>
      </c>
      <c r="C27" s="6">
        <v>4000</v>
      </c>
      <c r="D27" s="6">
        <v>2</v>
      </c>
      <c r="E27" s="6" t="s">
        <v>14</v>
      </c>
      <c r="F27" s="7">
        <v>8000</v>
      </c>
      <c r="G27" s="7">
        <v>26</v>
      </c>
      <c r="H27" s="7" t="str">
        <v>Dress</v>
      </c>
      <c r="I27" s="7">
        <v>4000</v>
      </c>
      <c r="J27" s="7">
        <v>2</v>
      </c>
      <c r="K27" s="7" t="str">
        <v>Fashion</v>
      </c>
      <c r="M27" s="1" t="s">
        <v>34</v>
      </c>
      <c r="N27" s="9">
        <v>3000</v>
      </c>
      <c r="O27" s="9">
        <v>2</v>
      </c>
      <c r="P27" s="9">
        <v>6000</v>
      </c>
    </row>
    <row r="28" spans="1:16" x14ac:dyDescent="0.3">
      <c r="A28" s="4">
        <v>27</v>
      </c>
      <c r="B28" s="6" t="s">
        <v>36</v>
      </c>
      <c r="C28" s="6">
        <v>800</v>
      </c>
      <c r="D28" s="6">
        <v>5</v>
      </c>
      <c r="E28" s="6" t="s">
        <v>14</v>
      </c>
      <c r="F28" s="7">
        <v>4000</v>
      </c>
      <c r="G28" s="7">
        <v>27</v>
      </c>
      <c r="H28" s="7" t="str">
        <v>Belt</v>
      </c>
      <c r="I28" s="7">
        <v>800</v>
      </c>
      <c r="J28" s="7">
        <v>5</v>
      </c>
      <c r="K28" s="7" t="str">
        <v>Fashion</v>
      </c>
      <c r="M28" s="1" t="s">
        <v>54</v>
      </c>
      <c r="N28" s="9">
        <v>40000</v>
      </c>
      <c r="O28" s="9">
        <v>2</v>
      </c>
      <c r="P28" s="9">
        <v>80000</v>
      </c>
    </row>
    <row r="29" spans="1:16" x14ac:dyDescent="0.3">
      <c r="A29" s="4">
        <v>28</v>
      </c>
      <c r="B29" s="6" t="s">
        <v>37</v>
      </c>
      <c r="C29" s="6">
        <v>500</v>
      </c>
      <c r="D29" s="6">
        <v>7</v>
      </c>
      <c r="E29" s="6" t="s">
        <v>14</v>
      </c>
      <c r="F29" s="7">
        <v>3500</v>
      </c>
      <c r="G29" s="7">
        <v>28</v>
      </c>
      <c r="H29" s="7" t="str">
        <v>Cap</v>
      </c>
      <c r="I29" s="7">
        <v>500</v>
      </c>
      <c r="J29" s="7">
        <v>7</v>
      </c>
      <c r="K29" s="7" t="str">
        <v>Fashion</v>
      </c>
      <c r="M29" s="2" t="s">
        <v>14</v>
      </c>
      <c r="N29" s="9">
        <v>45300</v>
      </c>
      <c r="O29" s="9">
        <v>55</v>
      </c>
      <c r="P29" s="9">
        <v>93500</v>
      </c>
    </row>
    <row r="30" spans="1:16" ht="28.8" x14ac:dyDescent="0.3">
      <c r="A30" s="4">
        <v>29</v>
      </c>
      <c r="B30" s="6" t="s">
        <v>38</v>
      </c>
      <c r="C30" s="6">
        <v>1500</v>
      </c>
      <c r="D30" s="6">
        <v>4</v>
      </c>
      <c r="E30" s="6" t="s">
        <v>8</v>
      </c>
      <c r="F30" s="7">
        <v>6000</v>
      </c>
      <c r="G30" s="7">
        <v>29</v>
      </c>
      <c r="H30" s="7" t="str">
        <v>Wallet</v>
      </c>
      <c r="I30" s="7">
        <v>1500</v>
      </c>
      <c r="J30" s="7">
        <v>4</v>
      </c>
      <c r="K30" s="7" t="str">
        <v>Accessories</v>
      </c>
      <c r="M30" s="1" t="s">
        <v>36</v>
      </c>
      <c r="N30" s="9">
        <v>800</v>
      </c>
      <c r="O30" s="9">
        <v>5</v>
      </c>
      <c r="P30" s="9">
        <v>4000</v>
      </c>
    </row>
    <row r="31" spans="1:16" ht="28.8" x14ac:dyDescent="0.3">
      <c r="A31" s="4">
        <v>30</v>
      </c>
      <c r="B31" s="6" t="s">
        <v>39</v>
      </c>
      <c r="C31" s="6">
        <v>100</v>
      </c>
      <c r="D31" s="6">
        <v>10</v>
      </c>
      <c r="E31" s="6" t="s">
        <v>5</v>
      </c>
      <c r="F31" s="7">
        <v>1000</v>
      </c>
      <c r="G31" s="7">
        <v>30</v>
      </c>
      <c r="H31" s="7" t="str">
        <v>Scissors</v>
      </c>
      <c r="I31" s="7">
        <v>100</v>
      </c>
      <c r="J31" s="7">
        <v>10</v>
      </c>
      <c r="K31" s="7" t="str">
        <v>Stationery</v>
      </c>
      <c r="M31" s="1" t="s">
        <v>37</v>
      </c>
      <c r="N31" s="9">
        <v>500</v>
      </c>
      <c r="O31" s="9">
        <v>7</v>
      </c>
      <c r="P31" s="9">
        <v>3500</v>
      </c>
    </row>
    <row r="32" spans="1:16" ht="28.8" x14ac:dyDescent="0.3">
      <c r="A32" s="4">
        <v>31</v>
      </c>
      <c r="B32" s="6" t="s">
        <v>40</v>
      </c>
      <c r="C32" s="6">
        <v>250</v>
      </c>
      <c r="D32" s="6">
        <v>6</v>
      </c>
      <c r="E32" s="6" t="s">
        <v>5</v>
      </c>
      <c r="F32" s="7">
        <v>1500</v>
      </c>
      <c r="G32" s="7">
        <v>31</v>
      </c>
      <c r="H32" s="7" t="str">
        <v>Stapler</v>
      </c>
      <c r="I32" s="7">
        <v>250</v>
      </c>
      <c r="J32" s="7">
        <v>6</v>
      </c>
      <c r="K32" s="7" t="str">
        <v>Stationery</v>
      </c>
      <c r="M32" s="1" t="s">
        <v>35</v>
      </c>
      <c r="N32" s="9">
        <v>4000</v>
      </c>
      <c r="O32" s="9">
        <v>2</v>
      </c>
      <c r="P32" s="9">
        <v>8000</v>
      </c>
    </row>
    <row r="33" spans="1:16" ht="28.8" x14ac:dyDescent="0.3">
      <c r="A33" s="4">
        <v>32</v>
      </c>
      <c r="B33" s="6" t="s">
        <v>41</v>
      </c>
      <c r="C33" s="6">
        <v>500</v>
      </c>
      <c r="D33" s="6">
        <v>20</v>
      </c>
      <c r="E33" s="6" t="s">
        <v>5</v>
      </c>
      <c r="F33" s="7">
        <v>10000</v>
      </c>
      <c r="G33" s="7">
        <v>32</v>
      </c>
      <c r="H33" s="7" t="str">
        <v>Paper Pack</v>
      </c>
      <c r="I33" s="7">
        <v>500</v>
      </c>
      <c r="J33" s="7">
        <v>20</v>
      </c>
      <c r="K33" s="7" t="str">
        <v>Stationery</v>
      </c>
      <c r="M33" s="1" t="s">
        <v>55</v>
      </c>
      <c r="N33" s="9">
        <v>4500</v>
      </c>
      <c r="O33" s="9">
        <v>1</v>
      </c>
      <c r="P33" s="9">
        <v>4500</v>
      </c>
    </row>
    <row r="34" spans="1:16" ht="28.8" x14ac:dyDescent="0.3">
      <c r="A34" s="4">
        <v>33</v>
      </c>
      <c r="B34" s="6" t="s">
        <v>42</v>
      </c>
      <c r="C34" s="6">
        <v>15000</v>
      </c>
      <c r="D34" s="6">
        <v>2</v>
      </c>
      <c r="E34" s="6" t="s">
        <v>10</v>
      </c>
      <c r="F34" s="7">
        <v>30000</v>
      </c>
      <c r="G34" s="7">
        <v>33</v>
      </c>
      <c r="H34" s="7" t="str">
        <v>Monitor</v>
      </c>
      <c r="I34" s="7">
        <v>15000</v>
      </c>
      <c r="J34" s="7">
        <v>2</v>
      </c>
      <c r="K34" s="7" t="str">
        <v>Electronics</v>
      </c>
      <c r="M34" s="1" t="s">
        <v>48</v>
      </c>
      <c r="N34" s="9">
        <v>900</v>
      </c>
      <c r="O34" s="9">
        <v>2</v>
      </c>
      <c r="P34" s="9">
        <v>1800</v>
      </c>
    </row>
    <row r="35" spans="1:16" ht="28.8" x14ac:dyDescent="0.3">
      <c r="A35" s="4">
        <v>34</v>
      </c>
      <c r="B35" s="6" t="s">
        <v>43</v>
      </c>
      <c r="C35" s="6">
        <v>12000</v>
      </c>
      <c r="D35" s="6">
        <v>1</v>
      </c>
      <c r="E35" s="6" t="s">
        <v>10</v>
      </c>
      <c r="F35" s="7">
        <v>12000</v>
      </c>
      <c r="G35" s="7">
        <v>34</v>
      </c>
      <c r="H35" s="7" t="str">
        <v>Printer</v>
      </c>
      <c r="I35" s="7">
        <v>12000</v>
      </c>
      <c r="J35" s="7">
        <v>1</v>
      </c>
      <c r="K35" s="7" t="str">
        <v>Electronics</v>
      </c>
      <c r="M35" s="1" t="s">
        <v>25</v>
      </c>
      <c r="N35" s="9">
        <v>3500</v>
      </c>
      <c r="O35" s="9">
        <v>2</v>
      </c>
      <c r="P35" s="9">
        <v>7000</v>
      </c>
    </row>
    <row r="36" spans="1:16" ht="28.8" x14ac:dyDescent="0.3">
      <c r="A36" s="4">
        <v>35</v>
      </c>
      <c r="B36" s="6" t="s">
        <v>44</v>
      </c>
      <c r="C36" s="6">
        <v>6000</v>
      </c>
      <c r="D36" s="6">
        <v>3</v>
      </c>
      <c r="E36" s="6" t="s">
        <v>10</v>
      </c>
      <c r="F36" s="7">
        <v>18000</v>
      </c>
      <c r="G36" s="7">
        <v>35</v>
      </c>
      <c r="H36" s="7" t="str">
        <v>Speaker</v>
      </c>
      <c r="I36" s="7">
        <v>6000</v>
      </c>
      <c r="J36" s="7">
        <v>3</v>
      </c>
      <c r="K36" s="7" t="str">
        <v>Electronics</v>
      </c>
      <c r="M36" s="1" t="s">
        <v>45</v>
      </c>
      <c r="N36" s="9">
        <v>2500</v>
      </c>
      <c r="O36" s="9">
        <v>4</v>
      </c>
      <c r="P36" s="9">
        <v>10000</v>
      </c>
    </row>
    <row r="37" spans="1:16" x14ac:dyDescent="0.3">
      <c r="A37" s="4">
        <v>36</v>
      </c>
      <c r="B37" s="6" t="s">
        <v>45</v>
      </c>
      <c r="C37" s="6">
        <v>2500</v>
      </c>
      <c r="D37" s="6">
        <v>4</v>
      </c>
      <c r="E37" s="6" t="s">
        <v>14</v>
      </c>
      <c r="F37" s="7">
        <v>10000</v>
      </c>
      <c r="G37" s="7">
        <v>36</v>
      </c>
      <c r="H37" s="7" t="str">
        <v>Jeans</v>
      </c>
      <c r="I37" s="7">
        <v>2500</v>
      </c>
      <c r="J37" s="7">
        <v>4</v>
      </c>
      <c r="K37" s="7" t="str">
        <v>Fashion</v>
      </c>
      <c r="M37" s="1" t="s">
        <v>57</v>
      </c>
      <c r="N37" s="9">
        <v>7000</v>
      </c>
      <c r="O37" s="9">
        <v>1</v>
      </c>
      <c r="P37" s="9">
        <v>7000</v>
      </c>
    </row>
    <row r="38" spans="1:16" x14ac:dyDescent="0.3">
      <c r="A38" s="4">
        <v>37</v>
      </c>
      <c r="B38" s="6" t="s">
        <v>46</v>
      </c>
      <c r="C38" s="6">
        <v>200</v>
      </c>
      <c r="D38" s="6">
        <v>12</v>
      </c>
      <c r="E38" s="6" t="s">
        <v>14</v>
      </c>
      <c r="F38" s="7">
        <v>2400</v>
      </c>
      <c r="G38" s="7">
        <v>37</v>
      </c>
      <c r="H38" s="7" t="str">
        <v>Socks</v>
      </c>
      <c r="I38" s="7">
        <v>200</v>
      </c>
      <c r="J38" s="7">
        <v>12</v>
      </c>
      <c r="K38" s="7" t="str">
        <v>Fashion</v>
      </c>
      <c r="M38" s="1" t="s">
        <v>56</v>
      </c>
      <c r="N38" s="9">
        <v>3000</v>
      </c>
      <c r="O38" s="9">
        <v>2</v>
      </c>
      <c r="P38" s="9">
        <v>6000</v>
      </c>
    </row>
    <row r="39" spans="1:16" x14ac:dyDescent="0.3">
      <c r="A39" s="4">
        <v>38</v>
      </c>
      <c r="B39" s="6" t="s">
        <v>47</v>
      </c>
      <c r="C39" s="6">
        <v>700</v>
      </c>
      <c r="D39" s="6">
        <v>3</v>
      </c>
      <c r="E39" s="6" t="s">
        <v>14</v>
      </c>
      <c r="F39" s="7">
        <v>2100</v>
      </c>
      <c r="G39" s="7">
        <v>38</v>
      </c>
      <c r="H39" s="7" t="str">
        <v>Tie</v>
      </c>
      <c r="I39" s="7">
        <v>700</v>
      </c>
      <c r="J39" s="7">
        <v>3</v>
      </c>
      <c r="K39" s="7" t="str">
        <v>Fashion</v>
      </c>
      <c r="M39" s="1" t="s">
        <v>27</v>
      </c>
      <c r="N39" s="9">
        <v>5000</v>
      </c>
      <c r="O39" s="9">
        <v>1</v>
      </c>
      <c r="P39" s="9">
        <v>5000</v>
      </c>
    </row>
    <row r="40" spans="1:16" x14ac:dyDescent="0.3">
      <c r="A40" s="4">
        <v>39</v>
      </c>
      <c r="B40" s="6" t="s">
        <v>48</v>
      </c>
      <c r="C40" s="6">
        <v>900</v>
      </c>
      <c r="D40" s="6">
        <v>2</v>
      </c>
      <c r="E40" s="6" t="s">
        <v>14</v>
      </c>
      <c r="F40" s="7">
        <v>1800</v>
      </c>
      <c r="G40" s="7">
        <v>39</v>
      </c>
      <c r="H40" s="7" t="str">
        <v>Gloves</v>
      </c>
      <c r="I40" s="7">
        <v>900</v>
      </c>
      <c r="J40" s="7">
        <v>2</v>
      </c>
      <c r="K40" s="7" t="str">
        <v>Fashion</v>
      </c>
      <c r="M40" s="1" t="s">
        <v>15</v>
      </c>
      <c r="N40" s="9">
        <v>1200</v>
      </c>
      <c r="O40" s="9">
        <v>6</v>
      </c>
      <c r="P40" s="9">
        <v>7200</v>
      </c>
    </row>
    <row r="41" spans="1:16" ht="28.8" x14ac:dyDescent="0.3">
      <c r="A41" s="4">
        <v>40</v>
      </c>
      <c r="B41" s="6" t="s">
        <v>49</v>
      </c>
      <c r="C41" s="6">
        <v>600</v>
      </c>
      <c r="D41" s="6">
        <v>5</v>
      </c>
      <c r="E41" s="6" t="s">
        <v>8</v>
      </c>
      <c r="F41" s="7">
        <v>3000</v>
      </c>
      <c r="G41" s="7">
        <v>40</v>
      </c>
      <c r="H41" s="7" t="str">
        <v>Pillow</v>
      </c>
      <c r="I41" s="7">
        <v>600</v>
      </c>
      <c r="J41" s="7">
        <v>5</v>
      </c>
      <c r="K41" s="7" t="str">
        <v>Accessories</v>
      </c>
      <c r="M41" s="1" t="s">
        <v>13</v>
      </c>
      <c r="N41" s="9">
        <v>2500</v>
      </c>
      <c r="O41" s="9">
        <v>2</v>
      </c>
      <c r="P41" s="9">
        <v>5000</v>
      </c>
    </row>
    <row r="42" spans="1:16" ht="28.8" x14ac:dyDescent="0.3">
      <c r="A42" s="4">
        <v>41</v>
      </c>
      <c r="B42" s="6" t="s">
        <v>50</v>
      </c>
      <c r="C42" s="6">
        <v>2000</v>
      </c>
      <c r="D42" s="6">
        <v>2</v>
      </c>
      <c r="E42" s="6" t="s">
        <v>8</v>
      </c>
      <c r="F42" s="7">
        <v>4000</v>
      </c>
      <c r="G42" s="7">
        <v>41</v>
      </c>
      <c r="H42" s="7" t="str">
        <v>Blanket</v>
      </c>
      <c r="I42" s="7">
        <v>2000</v>
      </c>
      <c r="J42" s="7">
        <v>2</v>
      </c>
      <c r="K42" s="7" t="str">
        <v>Accessories</v>
      </c>
      <c r="M42" s="1" t="s">
        <v>46</v>
      </c>
      <c r="N42" s="9">
        <v>200</v>
      </c>
      <c r="O42" s="9">
        <v>12</v>
      </c>
      <c r="P42" s="9">
        <v>2400</v>
      </c>
    </row>
    <row r="43" spans="1:16" ht="28.8" x14ac:dyDescent="0.3">
      <c r="A43" s="4">
        <v>42</v>
      </c>
      <c r="B43" s="6" t="s">
        <v>51</v>
      </c>
      <c r="C43" s="6">
        <v>3500</v>
      </c>
      <c r="D43" s="6">
        <v>1</v>
      </c>
      <c r="E43" s="6" t="s">
        <v>8</v>
      </c>
      <c r="F43" s="7">
        <v>3500</v>
      </c>
      <c r="G43" s="7">
        <v>42</v>
      </c>
      <c r="H43" s="7" t="str">
        <v>Lamp</v>
      </c>
      <c r="I43" s="7">
        <v>3500</v>
      </c>
      <c r="J43" s="7">
        <v>1</v>
      </c>
      <c r="K43" s="7" t="str">
        <v>Accessories</v>
      </c>
      <c r="M43" s="1" t="s">
        <v>26</v>
      </c>
      <c r="N43" s="9">
        <v>2000</v>
      </c>
      <c r="O43" s="9">
        <v>3</v>
      </c>
      <c r="P43" s="9">
        <v>6000</v>
      </c>
    </row>
    <row r="44" spans="1:16" ht="28.8" x14ac:dyDescent="0.3">
      <c r="A44" s="4">
        <v>43</v>
      </c>
      <c r="B44" s="6" t="s">
        <v>52</v>
      </c>
      <c r="C44" s="6">
        <v>8000</v>
      </c>
      <c r="D44" s="6">
        <v>2</v>
      </c>
      <c r="E44" s="6" t="s">
        <v>10</v>
      </c>
      <c r="F44" s="7">
        <v>16000</v>
      </c>
      <c r="G44" s="7">
        <v>43</v>
      </c>
      <c r="H44" s="7" t="str">
        <v>Fan</v>
      </c>
      <c r="I44" s="7">
        <v>8000</v>
      </c>
      <c r="J44" s="7">
        <v>2</v>
      </c>
      <c r="K44" s="7" t="str">
        <v>Electronics</v>
      </c>
      <c r="M44" s="1" t="s">
        <v>47</v>
      </c>
      <c r="N44" s="9">
        <v>700</v>
      </c>
      <c r="O44" s="9">
        <v>3</v>
      </c>
      <c r="P44" s="9">
        <v>2100</v>
      </c>
    </row>
    <row r="45" spans="1:16" ht="28.8" x14ac:dyDescent="0.3">
      <c r="A45" s="4">
        <v>44</v>
      </c>
      <c r="B45" s="6" t="s">
        <v>53</v>
      </c>
      <c r="C45" s="6">
        <v>55000</v>
      </c>
      <c r="D45" s="6">
        <v>1</v>
      </c>
      <c r="E45" s="6" t="s">
        <v>10</v>
      </c>
      <c r="F45" s="7">
        <v>55000</v>
      </c>
      <c r="G45" s="7">
        <v>44</v>
      </c>
      <c r="H45" s="7" t="str">
        <v>AC</v>
      </c>
      <c r="I45" s="7">
        <v>55000</v>
      </c>
      <c r="J45" s="7">
        <v>1</v>
      </c>
      <c r="K45" s="7" t="str">
        <v>Electronics</v>
      </c>
      <c r="M45" s="1" t="s">
        <v>16</v>
      </c>
      <c r="N45" s="9">
        <v>7000</v>
      </c>
      <c r="O45" s="9">
        <v>2</v>
      </c>
      <c r="P45" s="9">
        <v>14000</v>
      </c>
    </row>
    <row r="46" spans="1:16" ht="28.8" x14ac:dyDescent="0.3">
      <c r="A46" s="4">
        <v>45</v>
      </c>
      <c r="B46" s="6" t="s">
        <v>54</v>
      </c>
      <c r="C46" s="6">
        <v>40000</v>
      </c>
      <c r="D46" s="6">
        <v>2</v>
      </c>
      <c r="E46" s="6" t="s">
        <v>10</v>
      </c>
      <c r="F46" s="7">
        <v>80000</v>
      </c>
      <c r="G46" s="7">
        <v>45</v>
      </c>
      <c r="H46" s="7" t="str">
        <v>TV</v>
      </c>
      <c r="I46" s="7">
        <v>40000</v>
      </c>
      <c r="J46" s="7">
        <v>2</v>
      </c>
      <c r="K46" s="7" t="str">
        <v>Electronics</v>
      </c>
      <c r="M46" s="2" t="s">
        <v>5</v>
      </c>
      <c r="N46" s="9">
        <v>1040</v>
      </c>
      <c r="O46" s="9">
        <v>120</v>
      </c>
      <c r="P46" s="9">
        <v>14560</v>
      </c>
    </row>
    <row r="47" spans="1:16" ht="28.8" x14ac:dyDescent="0.3">
      <c r="A47" s="4">
        <v>46</v>
      </c>
      <c r="B47" s="6" t="s">
        <v>55</v>
      </c>
      <c r="C47" s="6">
        <v>4500</v>
      </c>
      <c r="D47" s="6">
        <v>1</v>
      </c>
      <c r="E47" s="6" t="s">
        <v>14</v>
      </c>
      <c r="F47" s="7">
        <v>4500</v>
      </c>
      <c r="G47" s="7">
        <v>46</v>
      </c>
      <c r="H47" s="7" t="str">
        <v>Dress Shoes</v>
      </c>
      <c r="I47" s="7">
        <v>4500</v>
      </c>
      <c r="J47" s="7">
        <v>1</v>
      </c>
      <c r="K47" s="7" t="str">
        <v>Fashion</v>
      </c>
      <c r="M47" s="1" t="s">
        <v>6</v>
      </c>
      <c r="N47" s="9">
        <v>50</v>
      </c>
      <c r="O47" s="9">
        <v>2</v>
      </c>
      <c r="P47" s="9">
        <v>100</v>
      </c>
    </row>
    <row r="48" spans="1:16" x14ac:dyDescent="0.3">
      <c r="A48" s="4">
        <v>47</v>
      </c>
      <c r="B48" s="6" t="s">
        <v>56</v>
      </c>
      <c r="C48" s="6">
        <v>3000</v>
      </c>
      <c r="D48" s="6">
        <v>2</v>
      </c>
      <c r="E48" s="6" t="s">
        <v>14</v>
      </c>
      <c r="F48" s="7">
        <v>6000</v>
      </c>
      <c r="G48" s="7">
        <v>47</v>
      </c>
      <c r="H48" s="7" t="str">
        <v>Perfume</v>
      </c>
      <c r="I48" s="7">
        <v>3000</v>
      </c>
      <c r="J48" s="7">
        <v>2</v>
      </c>
      <c r="K48" s="7" t="str">
        <v>Fashion</v>
      </c>
      <c r="M48" s="1" t="s">
        <v>30</v>
      </c>
      <c r="N48" s="9">
        <v>5</v>
      </c>
      <c r="O48" s="9">
        <v>30</v>
      </c>
      <c r="P48" s="9">
        <v>150</v>
      </c>
    </row>
    <row r="49" spans="1:16" x14ac:dyDescent="0.3">
      <c r="A49" s="4">
        <v>48</v>
      </c>
      <c r="B49" s="6" t="s">
        <v>57</v>
      </c>
      <c r="C49" s="6">
        <v>7000</v>
      </c>
      <c r="D49" s="6">
        <v>1</v>
      </c>
      <c r="E49" s="6" t="s">
        <v>14</v>
      </c>
      <c r="F49" s="7">
        <v>7000</v>
      </c>
      <c r="G49" s="7">
        <v>48</v>
      </c>
      <c r="H49" s="7" t="str">
        <v>Necklace</v>
      </c>
      <c r="I49" s="7">
        <v>7000</v>
      </c>
      <c r="J49" s="7">
        <v>1</v>
      </c>
      <c r="K49" s="7" t="str">
        <v>Fashion</v>
      </c>
      <c r="M49" s="1" t="s">
        <v>31</v>
      </c>
      <c r="N49" s="9">
        <v>25</v>
      </c>
      <c r="O49" s="9">
        <v>20</v>
      </c>
      <c r="P49" s="9">
        <v>500</v>
      </c>
    </row>
    <row r="50" spans="1:16" ht="28.8" x14ac:dyDescent="0.3">
      <c r="A50" s="4">
        <v>49</v>
      </c>
      <c r="B50" s="6" t="s">
        <v>58</v>
      </c>
      <c r="C50" s="6">
        <v>500</v>
      </c>
      <c r="D50" s="6">
        <v>6</v>
      </c>
      <c r="E50" s="6" t="s">
        <v>8</v>
      </c>
      <c r="F50" s="7">
        <v>3000</v>
      </c>
      <c r="G50" s="7">
        <v>49</v>
      </c>
      <c r="H50" s="7" t="str">
        <v>Cushion</v>
      </c>
      <c r="I50" s="7">
        <v>500</v>
      </c>
      <c r="J50" s="7">
        <v>6</v>
      </c>
      <c r="K50" s="7" t="str">
        <v>Accessories</v>
      </c>
      <c r="M50" s="1" t="s">
        <v>29</v>
      </c>
      <c r="N50" s="9">
        <v>20</v>
      </c>
      <c r="O50" s="9">
        <v>15</v>
      </c>
      <c r="P50" s="9">
        <v>300</v>
      </c>
    </row>
    <row r="51" spans="1:16" ht="28.8" x14ac:dyDescent="0.3">
      <c r="A51" s="4">
        <v>50</v>
      </c>
      <c r="B51" s="6" t="s">
        <v>59</v>
      </c>
      <c r="C51" s="6">
        <v>250</v>
      </c>
      <c r="D51" s="6">
        <v>10</v>
      </c>
      <c r="E51" s="6" t="s">
        <v>8</v>
      </c>
      <c r="F51" s="7">
        <v>2500</v>
      </c>
      <c r="G51" s="7">
        <v>50</v>
      </c>
      <c r="H51" s="7" t="str">
        <v>Mug</v>
      </c>
      <c r="I51" s="7">
        <v>250</v>
      </c>
      <c r="J51" s="7">
        <v>10</v>
      </c>
      <c r="K51" s="7" t="str">
        <v>Accessories</v>
      </c>
      <c r="M51" s="1" t="s">
        <v>20</v>
      </c>
      <c r="N51" s="9">
        <v>80</v>
      </c>
      <c r="O51" s="9">
        <v>12</v>
      </c>
      <c r="P51" s="9">
        <v>960</v>
      </c>
    </row>
    <row r="52" spans="1:16" x14ac:dyDescent="0.3">
      <c r="M52" s="1" t="s">
        <v>41</v>
      </c>
      <c r="N52" s="9">
        <v>500</v>
      </c>
      <c r="O52" s="9">
        <v>20</v>
      </c>
      <c r="P52" s="9">
        <v>10000</v>
      </c>
    </row>
    <row r="53" spans="1:16" x14ac:dyDescent="0.3">
      <c r="M53" s="1" t="s">
        <v>4</v>
      </c>
      <c r="N53" s="9">
        <v>10</v>
      </c>
      <c r="O53" s="9">
        <v>5</v>
      </c>
      <c r="P53" s="9">
        <v>50</v>
      </c>
    </row>
    <row r="54" spans="1:16" x14ac:dyDescent="0.3">
      <c r="M54" s="1" t="s">
        <v>39</v>
      </c>
      <c r="N54" s="9">
        <v>100</v>
      </c>
      <c r="O54" s="9">
        <v>10</v>
      </c>
      <c r="P54" s="9">
        <v>1000</v>
      </c>
    </row>
    <row r="55" spans="1:16" x14ac:dyDescent="0.3">
      <c r="M55" s="1" t="s">
        <v>40</v>
      </c>
      <c r="N55" s="9">
        <v>250</v>
      </c>
      <c r="O55" s="9">
        <v>6</v>
      </c>
      <c r="P55" s="9">
        <v>1500</v>
      </c>
    </row>
    <row r="56" spans="1:16" x14ac:dyDescent="0.3">
      <c r="M56" s="2" t="s">
        <v>62</v>
      </c>
      <c r="N56" s="9"/>
      <c r="O56" s="9"/>
      <c r="P56" s="9"/>
    </row>
    <row r="57" spans="1:16" x14ac:dyDescent="0.3">
      <c r="M57" s="1" t="s">
        <v>62</v>
      </c>
      <c r="N57" s="9"/>
      <c r="O57" s="9"/>
      <c r="P57" s="9"/>
    </row>
    <row r="58" spans="1:16" x14ac:dyDescent="0.3">
      <c r="M58" s="2" t="s">
        <v>63</v>
      </c>
      <c r="N58" s="9">
        <v>359290</v>
      </c>
      <c r="O58" s="9">
        <v>270</v>
      </c>
      <c r="P58" s="9">
        <v>781960</v>
      </c>
    </row>
  </sheetData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with 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tamim</dc:creator>
  <cp:lastModifiedBy>md tamim</cp:lastModifiedBy>
  <dcterms:created xsi:type="dcterms:W3CDTF">2026-07-13T19:00:43Z</dcterms:created>
  <dcterms:modified xsi:type="dcterms:W3CDTF">2026-07-13T19:40:24Z</dcterms:modified>
</cp:coreProperties>
</file>