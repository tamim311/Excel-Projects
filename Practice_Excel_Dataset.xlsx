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4387f77a682ea/Documents/"/>
    </mc:Choice>
  </mc:AlternateContent>
  <xr:revisionPtr revIDLastSave="0" documentId="8_{A0DD904E-4598-46DA-A9E6-D656D057F469}" xr6:coauthVersionLast="47" xr6:coauthVersionMax="47" xr10:uidLastSave="{00000000-0000-0000-0000-000000000000}"/>
  <bookViews>
    <workbookView xWindow="-108" yWindow="-108" windowWidth="23256" windowHeight="13896" activeTab="2" xr2:uid="{A03FDC27-7769-45BD-8520-455658ABDC4C}"/>
  </bookViews>
  <sheets>
    <sheet name="Students performance analysis" sheetId="1" r:id="rId1"/>
    <sheet name="Monthly Expenses" sheetId="2" r:id="rId2"/>
    <sheet name="Sales Data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2" i="3"/>
  <c r="F2" i="1"/>
  <c r="F3" i="1"/>
  <c r="F4" i="1"/>
  <c r="F5" i="1"/>
  <c r="F6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<sst xmlns="http://schemas.openxmlformats.org/spreadsheetml/2006/main" count="51" uniqueCount="38">
  <si>
    <t>Student</t>
  </si>
  <si>
    <t>Math</t>
  </si>
  <si>
    <t>Statistics</t>
  </si>
  <si>
    <t>Economics</t>
  </si>
  <si>
    <t>Average</t>
  </si>
  <si>
    <t>Pass/Fail</t>
  </si>
  <si>
    <t>Ayesha</t>
  </si>
  <si>
    <t>Rahim</t>
  </si>
  <si>
    <t>Sumi</t>
  </si>
  <si>
    <t>Tanvir</t>
  </si>
  <si>
    <t>Nabila</t>
  </si>
  <si>
    <t>Month</t>
  </si>
  <si>
    <t>Rent</t>
  </si>
  <si>
    <t>Food</t>
  </si>
  <si>
    <t>Transport</t>
  </si>
  <si>
    <t>Entertainment</t>
  </si>
  <si>
    <t>Total</t>
  </si>
  <si>
    <t>Jan</t>
  </si>
  <si>
    <t>Feb</t>
  </si>
  <si>
    <t>Mar</t>
  </si>
  <si>
    <t>Apr</t>
  </si>
  <si>
    <t>May</t>
  </si>
  <si>
    <t>Product</t>
  </si>
  <si>
    <t>Region</t>
  </si>
  <si>
    <t>Units Sold</t>
  </si>
  <si>
    <t>Price</t>
  </si>
  <si>
    <t>Revenue</t>
  </si>
  <si>
    <t>Laptop</t>
  </si>
  <si>
    <t>Dhaka</t>
  </si>
  <si>
    <t>Phone</t>
  </si>
  <si>
    <t>Chittagong</t>
  </si>
  <si>
    <t>Tablet</t>
  </si>
  <si>
    <t>Sylhet</t>
  </si>
  <si>
    <t>Rajshahi</t>
  </si>
  <si>
    <t>Row Labels</t>
  </si>
  <si>
    <t>Grand Total</t>
  </si>
  <si>
    <t>Sum of Revenue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</si>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</sst>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8" formatCode="0.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Perfomance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4814814814814814"/>
          <c:w val="0.89030796150481195"/>
          <c:h val="0.638919510061242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'Students performance analysis'!$A$2:$A$6</c:f>
              <c:strCache>
                <c:ptCount val="5"/>
                <c:pt idx="0">
                  <c:v>Ayesha</c:v>
                </c:pt>
                <c:pt idx="1">
                  <c:v>Rahim</c:v>
                </c:pt>
                <c:pt idx="2">
                  <c:v>Sumi</c:v>
                </c:pt>
                <c:pt idx="3">
                  <c:v>Tanvir</c:v>
                </c:pt>
                <c:pt idx="4">
                  <c:v>Nabila</c:v>
                </c:pt>
              </c:strCache>
            </c:strRef>
          </c:cat>
          <c:val>
            <c:numRef>
              <c:f>'Students performance analysis'!$B$2:$B$6</c:f>
              <c:numCache>
                <c:formatCode>General</c:formatCode>
                <c:ptCount val="5"/>
                <c:pt idx="0">
                  <c:v>78</c:v>
                </c:pt>
                <c:pt idx="1">
                  <c:v>55</c:v>
                </c:pt>
                <c:pt idx="2">
                  <c:v>92</c:v>
                </c:pt>
                <c:pt idx="3">
                  <c:v>40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F-4001-9BFC-9A54CE71B93E}"/>
            </c:ext>
          </c:extLst>
        </c:ser>
        <c:ser>
          <c:idx val="1"/>
          <c:order val="1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'Students performance analysis'!$A$2:$A$6</c:f>
              <c:strCache>
                <c:ptCount val="5"/>
                <c:pt idx="0">
                  <c:v>Ayesha</c:v>
                </c:pt>
                <c:pt idx="1">
                  <c:v>Rahim</c:v>
                </c:pt>
                <c:pt idx="2">
                  <c:v>Sumi</c:v>
                </c:pt>
                <c:pt idx="3">
                  <c:v>Tanvir</c:v>
                </c:pt>
                <c:pt idx="4">
                  <c:v>Nabila</c:v>
                </c:pt>
              </c:strCache>
            </c:strRef>
          </c:cat>
          <c:val>
            <c:numRef>
              <c:f>'Students performance analysis'!$C$2:$C$6</c:f>
              <c:numCache>
                <c:formatCode>General</c:formatCode>
                <c:ptCount val="5"/>
                <c:pt idx="0">
                  <c:v>85</c:v>
                </c:pt>
                <c:pt idx="1">
                  <c:v>60</c:v>
                </c:pt>
                <c:pt idx="2">
                  <c:v>88</c:v>
                </c:pt>
                <c:pt idx="3">
                  <c:v>45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F-4001-9BFC-9A54CE71B93E}"/>
            </c:ext>
          </c:extLst>
        </c:ser>
        <c:ser>
          <c:idx val="2"/>
          <c:order val="2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'Students performance analysis'!$A$2:$A$6</c:f>
              <c:strCache>
                <c:ptCount val="5"/>
                <c:pt idx="0">
                  <c:v>Ayesha</c:v>
                </c:pt>
                <c:pt idx="1">
                  <c:v>Rahim</c:v>
                </c:pt>
                <c:pt idx="2">
                  <c:v>Sumi</c:v>
                </c:pt>
                <c:pt idx="3">
                  <c:v>Tanvir</c:v>
                </c:pt>
                <c:pt idx="4">
                  <c:v>Nabila</c:v>
                </c:pt>
              </c:strCache>
            </c:strRef>
          </c:cat>
          <c:val>
            <c:numRef>
              <c:f>'Students performance analysis'!$D$2:$D$6</c:f>
              <c:numCache>
                <c:formatCode>General</c:formatCode>
                <c:ptCount val="5"/>
                <c:pt idx="0">
                  <c:v>72</c:v>
                </c:pt>
                <c:pt idx="1">
                  <c:v>58</c:v>
                </c:pt>
                <c:pt idx="2">
                  <c:v>95</c:v>
                </c:pt>
                <c:pt idx="3">
                  <c:v>50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F-4001-9BFC-9A54CE71B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5585039"/>
        <c:axId val="2084782383"/>
      </c:barChart>
      <c:catAx>
        <c:axId val="13558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82383"/>
        <c:crosses val="autoZero"/>
        <c:auto val="1"/>
        <c:lblAlgn val="ctr"/>
        <c:lblOffset val="100"/>
        <c:noMultiLvlLbl val="0"/>
      </c:catAx>
      <c:valAx>
        <c:axId val="20847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4393518518518519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'Monthly Expenses'!$A$3:$A$7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Expenses'!$B$3:$B$7</c:f>
              <c:numCache>
                <c:formatCode>General</c:formatCode>
                <c:ptCount val="5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2-40A2-91F3-A15A706A1C7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'Monthly Expenses'!$A$3:$A$7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Expenses'!$C$3:$C$7</c:f>
              <c:numCache>
                <c:formatCode>General</c:formatCode>
                <c:ptCount val="5"/>
                <c:pt idx="0">
                  <c:v>5000</c:v>
                </c:pt>
                <c:pt idx="1">
                  <c:v>4800</c:v>
                </c:pt>
                <c:pt idx="2">
                  <c:v>5100</c:v>
                </c:pt>
                <c:pt idx="3">
                  <c:v>4900</c:v>
                </c:pt>
                <c:pt idx="4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2-40A2-91F3-A15A706A1C72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'Monthly Expenses'!$A$3:$A$7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Expenses'!$D$3:$D$7</c:f>
              <c:numCache>
                <c:formatCode>General</c:formatCode>
                <c:ptCount val="5"/>
                <c:pt idx="0">
                  <c:v>2000</c:v>
                </c:pt>
                <c:pt idx="1">
                  <c:v>2200</c:v>
                </c:pt>
                <c:pt idx="2">
                  <c:v>2100</c:v>
                </c:pt>
                <c:pt idx="3">
                  <c:v>2300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2-40A2-91F3-A15A706A1C72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'Monthly Expenses'!$A$3:$A$7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Expenses'!$E$3:$E$7</c:f>
              <c:numCache>
                <c:formatCode>General</c:formatCode>
                <c:ptCount val="5"/>
                <c:pt idx="0">
                  <c:v>1500</c:v>
                </c:pt>
                <c:pt idx="1">
                  <c:v>1200</c:v>
                </c:pt>
                <c:pt idx="2">
                  <c:v>1800</c:v>
                </c:pt>
                <c:pt idx="3">
                  <c:v>1600</c:v>
                </c:pt>
                <c:pt idx="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2-40A2-91F3-A15A706A1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'Sales Data'!$C$1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'Sales Data'!$A$2:$B$6</c:f>
              <c:multiLvlStrCache>
                <c:ptCount val="5"/>
                <c:lvl>
                  <c:pt idx="0">
                    <c:v>Dhaka</c:v>
                  </c:pt>
                  <c:pt idx="1">
                    <c:v>Chittagong</c:v>
                  </c:pt>
                  <c:pt idx="2">
                    <c:v>Sylhet</c:v>
                  </c:pt>
                  <c:pt idx="3">
                    <c:v>Rajshahi</c:v>
                  </c:pt>
                  <c:pt idx="4">
                    <c:v>Dhaka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Phone</c:v>
                  </c:pt>
                </c:lvl>
              </c:multiLvlStrCache>
            </c:multiLvlStrRef>
          </c:cat>
          <c:val>
            <c:numRef>
              <c:f>'Sales Data'!$C$2:$C$6</c:f>
              <c:numCache>
                <c:formatCode>General</c:formatCode>
                <c:ptCount val="5"/>
                <c:pt idx="0">
                  <c:v>120</c:v>
                </c:pt>
                <c:pt idx="1">
                  <c:v>200</c:v>
                </c:pt>
                <c:pt idx="2">
                  <c:v>80</c:v>
                </c:pt>
                <c:pt idx="3">
                  <c:v>90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A-4656-BB96-FE28DF13BDE0}"/>
            </c:ext>
          </c:extLst>
        </c:ser>
        <c:ser>
          <c:idx val="1"/>
          <c:order val="1"/>
          <c:tx>
            <c:strRef>
              <c:f>'Sales Data'!$D$1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'Sales Data'!$A$2:$B$6</c:f>
              <c:multiLvlStrCache>
                <c:ptCount val="5"/>
                <c:lvl>
                  <c:pt idx="0">
                    <c:v>Dhaka</c:v>
                  </c:pt>
                  <c:pt idx="1">
                    <c:v>Chittagong</c:v>
                  </c:pt>
                  <c:pt idx="2">
                    <c:v>Sylhet</c:v>
                  </c:pt>
                  <c:pt idx="3">
                    <c:v>Rajshahi</c:v>
                  </c:pt>
                  <c:pt idx="4">
                    <c:v>Dhaka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Phone</c:v>
                  </c:pt>
                </c:lvl>
              </c:multiLvlStrCache>
            </c:multiLvlStrRef>
          </c:cat>
          <c:val>
            <c:numRef>
              <c:f>'Sales Data'!$D$2:$D$6</c:f>
              <c:numCache>
                <c:formatCode>General</c:formatCode>
                <c:ptCount val="5"/>
                <c:pt idx="0">
                  <c:v>60000</c:v>
                </c:pt>
                <c:pt idx="1">
                  <c:v>25000</c:v>
                </c:pt>
                <c:pt idx="2">
                  <c:v>30000</c:v>
                </c:pt>
                <c:pt idx="3">
                  <c:v>60000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A-4656-BB96-FE28DF13BDE0}"/>
            </c:ext>
          </c:extLst>
        </c:ser>
        <c:ser>
          <c:idx val="2"/>
          <c:order val="2"/>
          <c:tx>
            <c:strRef>
              <c:f>'Sales Data'!$E$1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'Sales Data'!$A$2:$B$6</c:f>
              <c:multiLvlStrCache>
                <c:ptCount val="5"/>
                <c:lvl>
                  <c:pt idx="0">
                    <c:v>Dhaka</c:v>
                  </c:pt>
                  <c:pt idx="1">
                    <c:v>Chittagong</c:v>
                  </c:pt>
                  <c:pt idx="2">
                    <c:v>Sylhet</c:v>
                  </c:pt>
                  <c:pt idx="3">
                    <c:v>Rajshahi</c:v>
                  </c:pt>
                  <c:pt idx="4">
                    <c:v>Dhaka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  <c:pt idx="2">
                    <c:v>Tablet</c:v>
                  </c:pt>
                  <c:pt idx="3">
                    <c:v>Laptop</c:v>
                  </c:pt>
                  <c:pt idx="4">
                    <c:v>Phone</c:v>
                  </c:pt>
                </c:lvl>
              </c:multiLvlStrCache>
            </c:multiLvlStrRef>
          </c:cat>
          <c:val>
            <c:numRef>
              <c:f>'Sales Data'!$E$2:$E$6</c:f>
              <c:numCache>
                <c:formatCode>General</c:formatCode>
                <c:ptCount val="5"/>
                <c:pt idx="0">
                  <c:v>7200000</c:v>
                </c:pt>
                <c:pt idx="1">
                  <c:v>5000000</c:v>
                </c:pt>
                <c:pt idx="2">
                  <c:v>2400000</c:v>
                </c:pt>
                <c:pt idx="3">
                  <c:v>5400000</c:v>
                </c:pt>
                <c:pt idx="4">
                  <c:v>3750000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A-4656-BB96-FE28DF13B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886799"/>
        <c:axId val="146996943"/>
        <c:axId val="129103023"/>
      </c:bar3DChart>
      <c:catAx>
        <c:axId val="12888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6943"/>
        <c:crosses val="autoZero"/>
        <c:auto val="1"/>
        <c:lblAlgn val="ctr"/>
        <c:lblOffset val="100"/>
        <c:noMultiLvlLbl val="0"/>
      </c:catAx>
      <c:valAx>
        <c:axId val="14699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6799"/>
        <c:crosses val="autoZero"/>
        <c:crossBetween val="between"/>
      </c:valAx>
      <c:serAx>
        <c:axId val="1291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69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6</xdr:col>
      <xdr:colOff>228600</xdr:colOff>
      <xdr:row>20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EDA422-B9ED-0027-6D3F-DB6F3ED14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7</xdr:row>
      <xdr:rowOff>11430</xdr:rowOff>
    </xdr:from>
    <xdr:to>
      <xdr:col>6</xdr:col>
      <xdr:colOff>518160</xdr:colOff>
      <xdr:row>22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770D81-A016-D15C-FAFE-99F6A5628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532482</xdr:colOff>
      <xdr:row>7</xdr:row>
      <xdr:rowOff>46822</xdr:rowOff>
    </xdr:from>
    <xdr:to>
      <xdr:col>7</xdr:col>
      <xdr:colOff>569205</xdr:colOff>
      <xdr:row>22</xdr:row>
      <xdr:rowOff>35805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FEED4-0846-2F25-A6AB-9C25FC730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1.043318171294" createdVersion="8" refreshedVersion="8" minRefreshableVersion="3" recordCount="5" xr:uid="{A07E7BD6-C904-473B-A1A3-7D056ADE2FE8}">
  <cacheSource type="worksheet">
    <worksheetSource name="Table3"/>
  </cacheSource>
  <cacheFields count="5">
    <cacheField name="Product" numFmtId="0">
      <sharedItems count="3">
        <s v="Laptop"/>
        <s v="Phone"/>
        <s v="Tablet"/>
      </sharedItems>
    </cacheField>
    <cacheField name="Region" numFmtId="0">
      <sharedItems count="4">
        <s v="Dhaka"/>
        <s v="Chittagong"/>
        <s v="Sylhet"/>
        <s v="Rajshahi"/>
      </sharedItems>
    </cacheField>
    <cacheField name="Units Sold" numFmtId="0">
      <sharedItems containsSemiMixedTypes="0" containsString="0" containsNumber="1" containsInteger="1" minValue="80" maxValue="200" count="5">
        <n v="120"/>
        <n v="200"/>
        <n v="80"/>
        <n v="90"/>
        <n v="150"/>
      </sharedItems>
    </cacheField>
    <cacheField name="Price" numFmtId="0">
      <sharedItems containsSemiMixedTypes="0" containsString="0" containsNumber="1" containsInteger="1" minValue="25000" maxValue="60000"/>
    </cacheField>
    <cacheField name="Revenue" numFmtId="0">
      <sharedItems containsSemiMixedTypes="0" containsString="0" containsNumber="1" containsInteger="1" minValue="2400000" maxValue="7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60000"/>
    <n v="7200000"/>
  </r>
  <r>
    <x v="1"/>
    <x v="1"/>
    <x v="1"/>
    <n v="25000"/>
    <n v="5000000"/>
  </r>
  <r>
    <x v="2"/>
    <x v="2"/>
    <x v="2"/>
    <n v="30000"/>
    <n v="2400000"/>
  </r>
  <r>
    <x v="0"/>
    <x v="3"/>
    <x v="3"/>
    <n v="60000"/>
    <n v="5400000"/>
  </r>
  <r>
    <x v="1"/>
    <x v="0"/>
    <x v="4"/>
    <n v="25000"/>
    <n v="37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3C6A8-658A-4EB5-93EF-9E151E4DA10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M6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2" baseField="0" baseItem="0"/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C98B3-D4E1-4854-B17E-DDDAB3887B0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6" firstHeaderRow="1" firstDataRow="1" firstDataCol="1"/>
  <pivotFields count="5"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55974-EB12-417C-942B-3DA7D709AB7A}" name="Table1" displayName="Table1" ref="A1:F6" totalsRowShown="0" headerRowDxfId="16" dataDxfId="17">
  <autoFilter ref="A1:F6" xr:uid="{EDF55974-EB12-417C-942B-3DA7D709AB7A}"/>
  <tableColumns count="6">
    <tableColumn id="1" xr3:uid="{CB25ECD6-0AA0-435E-82D3-14462936BE33}" name="Student" dataDxfId="22"/>
    <tableColumn id="2" xr3:uid="{D28FB213-B124-422A-B21E-A18EF4A5B9D0}" name="Math" dataDxfId="21"/>
    <tableColumn id="3" xr3:uid="{0723D6E8-B657-4186-A30C-63F243656FED}" name="Statistics" dataDxfId="20"/>
    <tableColumn id="4" xr3:uid="{176BD899-F332-4D0D-AC06-3BF78632EC35}" name="Economics" dataDxfId="19"/>
    <tableColumn id="5" xr3:uid="{A0869811-9098-4158-B653-0F90861EDB14}" name="Average" dataDxfId="18">
      <calculatedColumnFormula>AVERAGE(B2:D2)</calculatedColumnFormula>
    </tableColumn>
    <tableColumn id="6" xr3:uid="{69A04767-8F5C-4364-B182-381077D5571E}" name="Pass/Fail" dataDxfId="15">
      <calculatedColumnFormula>IF(AND(B2&gt;=50,C2&gt;=50,D2&gt;=50),"Pass","Fail")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C3C89-CDBA-444E-B116-04B3E4C6B908}" name="Table2" displayName="Table2" ref="A2:F7" totalsRowShown="0" headerRowDxfId="7" dataDxfId="8">
  <autoFilter ref="A2:F7" xr:uid="{28DC3C89-CDBA-444E-B116-04B3E4C6B908}"/>
  <tableColumns count="6">
    <tableColumn id="1" xr3:uid="{9A434A43-6D7C-4875-BE1D-8B0D05FECDE4}" name="Month" dataDxfId="14"/>
    <tableColumn id="2" xr3:uid="{46F653C1-C7D5-458C-BF56-954AD609DDF5}" name="Rent" dataDxfId="13"/>
    <tableColumn id="3" xr3:uid="{98DAC9EB-DCB8-44FC-9AD4-0AF53AC78F4B}" name="Food" dataDxfId="12"/>
    <tableColumn id="4" xr3:uid="{6B1F283A-0290-4AAC-9AF0-2B8200444F7A}" name="Transport" dataDxfId="11"/>
    <tableColumn id="5" xr3:uid="{76575B7B-1FBC-43FB-8B5E-1E1C8E69BEC6}" name="Entertainment" dataDxfId="10"/>
    <tableColumn id="6" xr3:uid="{39E42CF1-C823-41CA-91B2-B776E00F67A4}" name="Total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941C70-B5BC-4905-AA37-369195F2E629}" name="Table3" displayName="Table3" ref="A1:E6" totalsRowShown="0" headerRowDxfId="0" dataDxfId="1">
  <autoFilter ref="A1:E6" xr:uid="{FF941C70-B5BC-4905-AA37-369195F2E629}"/>
  <tableColumns count="5">
    <tableColumn id="1" xr3:uid="{B42046A9-E28D-435D-9D7E-DED4DEFAD55F}" name="Product" dataDxfId="6"/>
    <tableColumn id="2" xr3:uid="{958C03C1-37CD-474E-93E2-F234D1353C50}" name="Region" dataDxfId="5"/>
    <tableColumn id="3" xr3:uid="{C91DC7FC-E579-45BB-8D62-8EE7F2F89CE2}" name="Units Sold" dataDxfId="4"/>
    <tableColumn id="4" xr3:uid="{E8F22946-76EA-40D0-8CD2-D9B1B13FA3D4}" name="Price" dataDxfId="3"/>
    <tableColumn id="5" xr3:uid="{F5E0ED72-246C-4E03-9CF0-1AD163C12E5C}" name="Revenue" dataDxfId="2">
      <calculatedColumnFormula>C2*D2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6C32-75CB-4980-91E6-6FD291511563}">
  <dimension ref="A1:F6"/>
  <sheetViews>
    <sheetView workbookViewId="0">
      <selection activeCell="P19" sqref="P19"/>
    </sheetView>
  </sheetViews>
  <sheetFormatPr defaultRowHeight="14.4"/>
  <cols>
    <col min="1" max="1" width="9.44140625" customWidth="1"/>
    <col min="3" max="3" width="10.88671875" customWidth="1"/>
    <col min="4" max="4" width="12" customWidth="1"/>
    <col min="5" max="5" width="11.5546875" bestFit="1" customWidth="1"/>
    <col min="6" max="6" width="10.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1">
        <v>78</v>
      </c>
      <c r="C2" s="1">
        <v>85</v>
      </c>
      <c r="D2" s="1">
        <v>72</v>
      </c>
      <c r="E2" s="5">
        <f>AVERAGE(B2:D2)</f>
        <v>78.333333333333329</v>
      </c>
      <c r="F2" s="6" t="str">
        <f t="shared" ref="F2:F6" si="0">IF(AND(B2&gt;=50,C2&gt;=50,D2&gt;=50),"Pass","Fail")</f>
        <v>Pass</v>
      </c>
    </row>
    <row r="3" spans="1:6">
      <c r="A3" s="2" t="s">
        <v>7</v>
      </c>
      <c r="B3" s="1">
        <v>55</v>
      </c>
      <c r="C3" s="1">
        <v>60</v>
      </c>
      <c r="D3" s="1">
        <v>58</v>
      </c>
      <c r="E3" s="5">
        <f t="shared" ref="E3:E6" si="1">AVERAGE(B3:D3)</f>
        <v>57.666666666666664</v>
      </c>
      <c r="F3" s="6" t="str">
        <f t="shared" si="0"/>
        <v>Pass</v>
      </c>
    </row>
    <row r="4" spans="1:6">
      <c r="A4" s="2" t="s">
        <v>8</v>
      </c>
      <c r="B4" s="1">
        <v>92</v>
      </c>
      <c r="C4" s="1">
        <v>88</v>
      </c>
      <c r="D4" s="1">
        <v>95</v>
      </c>
      <c r="E4" s="5">
        <f t="shared" si="1"/>
        <v>91.666666666666671</v>
      </c>
      <c r="F4" s="6" t="str">
        <f t="shared" si="0"/>
        <v>Pass</v>
      </c>
    </row>
    <row r="5" spans="1:6">
      <c r="A5" s="2" t="s">
        <v>9</v>
      </c>
      <c r="B5" s="1">
        <v>40</v>
      </c>
      <c r="C5" s="1">
        <v>45</v>
      </c>
      <c r="D5" s="1">
        <v>50</v>
      </c>
      <c r="E5" s="5">
        <f t="shared" si="1"/>
        <v>45</v>
      </c>
      <c r="F5" s="6" t="str">
        <f t="shared" si="0"/>
        <v>Fail</v>
      </c>
    </row>
    <row r="6" spans="1:6">
      <c r="A6" s="2" t="s">
        <v>10</v>
      </c>
      <c r="B6" s="1">
        <v>67</v>
      </c>
      <c r="C6" s="1">
        <v>70</v>
      </c>
      <c r="D6" s="1">
        <v>65</v>
      </c>
      <c r="E6" s="5">
        <f t="shared" si="1"/>
        <v>67.333333333333329</v>
      </c>
      <c r="F6" s="6" t="str">
        <f t="shared" si="0"/>
        <v>Pass</v>
      </c>
    </row>
  </sheetData>
  <conditionalFormatting sqref="K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E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D6">
    <cfRule type="colorScale" priority="2">
      <colorScale>
        <cfvo type="min"/>
        <cfvo type="max"/>
        <color rgb="FFFCFCFF"/>
        <color rgb="FFF8696B"/>
      </colorScale>
    </cfRule>
  </conditionalFormatting>
  <conditionalFormatting sqref="A2:E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C3C8-18E0-43C4-987D-78B9C9CDDB6A}">
  <dimension ref="A1:F7"/>
  <sheetViews>
    <sheetView zoomScale="120" workbookViewId="0">
      <selection activeCell="H24" sqref="H24"/>
    </sheetView>
  </sheetViews>
  <sheetFormatPr defaultRowHeight="14.4"/>
  <cols>
    <col min="4" max="4" width="10.77734375" customWidth="1"/>
    <col min="5" max="5" width="14.77734375" customWidth="1"/>
  </cols>
  <sheetData>
    <row r="1" spans="1:6" ht="13.2" customHeight="1"/>
    <row r="2" spans="1:6" ht="21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</row>
    <row r="3" spans="1:6">
      <c r="A3" s="2" t="s">
        <v>17</v>
      </c>
      <c r="B3" s="3">
        <v>8000</v>
      </c>
      <c r="C3" s="3">
        <v>5000</v>
      </c>
      <c r="D3" s="3">
        <v>2000</v>
      </c>
      <c r="E3" s="3">
        <v>1500</v>
      </c>
      <c r="F3" s="3"/>
    </row>
    <row r="4" spans="1:6">
      <c r="A4" s="2" t="s">
        <v>18</v>
      </c>
      <c r="B4" s="3">
        <v>8000</v>
      </c>
      <c r="C4" s="3">
        <v>4800</v>
      </c>
      <c r="D4" s="3">
        <v>2200</v>
      </c>
      <c r="E4" s="3">
        <v>1200</v>
      </c>
      <c r="F4" s="3"/>
    </row>
    <row r="5" spans="1:6">
      <c r="A5" s="2" t="s">
        <v>19</v>
      </c>
      <c r="B5" s="3">
        <v>8000</v>
      </c>
      <c r="C5" s="3">
        <v>5100</v>
      </c>
      <c r="D5" s="3">
        <v>2100</v>
      </c>
      <c r="E5" s="3">
        <v>1800</v>
      </c>
      <c r="F5" s="3"/>
    </row>
    <row r="6" spans="1:6">
      <c r="A6" s="2" t="s">
        <v>20</v>
      </c>
      <c r="B6" s="3">
        <v>8000</v>
      </c>
      <c r="C6" s="3">
        <v>4900</v>
      </c>
      <c r="D6" s="3">
        <v>2300</v>
      </c>
      <c r="E6" s="3">
        <v>1600</v>
      </c>
      <c r="F6" s="3"/>
    </row>
    <row r="7" spans="1:6">
      <c r="A7" s="2" t="s">
        <v>21</v>
      </c>
      <c r="B7" s="3">
        <v>8000</v>
      </c>
      <c r="C7" s="3">
        <v>5200</v>
      </c>
      <c r="D7" s="3">
        <v>2000</v>
      </c>
      <c r="E7" s="3">
        <v>1400</v>
      </c>
      <c r="F7" s="3"/>
    </row>
  </sheetData>
  <conditionalFormatting sqref="A1:E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{2AA8EC13-9E00-4D83-9A36-A027D1A57F4A}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A8EC13-9E00-4D83-9A36-A027D1A57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A1:E7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980F-9088-40DE-896F-8FE0EC1B3AD0}">
  <dimension ref="A1:M9"/>
  <sheetViews>
    <sheetView tabSelected="1" zoomScale="83" workbookViewId="0">
      <selection activeCell="P23" sqref="P23"/>
    </sheetView>
  </sheetViews>
  <sheetFormatPr defaultRowHeight="14.4"/>
  <cols>
    <col min="1" max="1" width="9.44140625" customWidth="1"/>
    <col min="3" max="3" width="11.33203125" customWidth="1"/>
    <col min="5" max="5" width="9.88671875" customWidth="1"/>
    <col min="8" max="8" width="14.5546875" customWidth="1"/>
    <col min="11" max="11" width="12.44140625" bestFit="1" customWidth="1"/>
    <col min="12" max="12" width="14.109375" bestFit="1" customWidth="1"/>
    <col min="13" max="13" width="14.88671875" bestFit="1" customWidth="1"/>
    <col min="14" max="15" width="8" bestFit="1" customWidth="1"/>
    <col min="16" max="16" width="13.109375" bestFit="1" customWidth="1"/>
    <col min="17" max="17" width="15.88671875" bestFit="1" customWidth="1"/>
    <col min="18" max="18" width="14.88671875" bestFit="1" customWidth="1"/>
  </cols>
  <sheetData>
    <row r="1" spans="1:13" ht="18.600000000000001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G1" s="7" t="s">
        <v>34</v>
      </c>
      <c r="H1" t="s">
        <v>36</v>
      </c>
    </row>
    <row r="2" spans="1:13">
      <c r="A2" s="2" t="s">
        <v>27</v>
      </c>
      <c r="B2" s="3" t="s">
        <v>28</v>
      </c>
      <c r="C2" s="3">
        <v>120</v>
      </c>
      <c r="D2" s="3">
        <v>60000</v>
      </c>
      <c r="E2" s="3">
        <f>C2*D2</f>
        <v>7200000</v>
      </c>
      <c r="G2" s="8" t="s">
        <v>30</v>
      </c>
      <c r="H2" s="9">
        <v>5000000</v>
      </c>
      <c r="K2" s="7" t="s">
        <v>34</v>
      </c>
      <c r="L2" t="s">
        <v>37</v>
      </c>
      <c r="M2" t="s">
        <v>36</v>
      </c>
    </row>
    <row r="3" spans="1:13" ht="28.8">
      <c r="A3" s="2" t="s">
        <v>29</v>
      </c>
      <c r="B3" s="3" t="s">
        <v>30</v>
      </c>
      <c r="C3" s="3">
        <v>200</v>
      </c>
      <c r="D3" s="3">
        <v>25000</v>
      </c>
      <c r="E3" s="3">
        <f t="shared" ref="E3:E6" si="0">C3*D3</f>
        <v>5000000</v>
      </c>
      <c r="G3" s="8" t="s">
        <v>28</v>
      </c>
      <c r="H3" s="9">
        <v>10950000</v>
      </c>
      <c r="K3" s="8" t="s">
        <v>27</v>
      </c>
      <c r="L3" s="9">
        <v>210</v>
      </c>
      <c r="M3" s="9">
        <v>12600000</v>
      </c>
    </row>
    <row r="4" spans="1:13">
      <c r="A4" s="2" t="s">
        <v>31</v>
      </c>
      <c r="B4" s="3" t="s">
        <v>32</v>
      </c>
      <c r="C4" s="3">
        <v>80</v>
      </c>
      <c r="D4" s="3">
        <v>30000</v>
      </c>
      <c r="E4" s="3">
        <f t="shared" si="0"/>
        <v>2400000</v>
      </c>
      <c r="G4" s="8" t="s">
        <v>33</v>
      </c>
      <c r="H4" s="9">
        <v>5400000</v>
      </c>
      <c r="K4" s="8" t="s">
        <v>29</v>
      </c>
      <c r="L4" s="9">
        <v>350</v>
      </c>
      <c r="M4" s="9">
        <v>8750000</v>
      </c>
    </row>
    <row r="5" spans="1:13">
      <c r="A5" s="2" t="s">
        <v>27</v>
      </c>
      <c r="B5" s="3" t="s">
        <v>33</v>
      </c>
      <c r="C5" s="3">
        <v>90</v>
      </c>
      <c r="D5" s="3">
        <v>60000</v>
      </c>
      <c r="E5" s="3">
        <f t="shared" si="0"/>
        <v>5400000</v>
      </c>
      <c r="G5" s="8" t="s">
        <v>32</v>
      </c>
      <c r="H5" s="9">
        <v>2400000</v>
      </c>
      <c r="K5" s="8" t="s">
        <v>31</v>
      </c>
      <c r="L5" s="9">
        <v>80</v>
      </c>
      <c r="M5" s="9">
        <v>2400000</v>
      </c>
    </row>
    <row r="6" spans="1:13">
      <c r="A6" s="2" t="s">
        <v>29</v>
      </c>
      <c r="B6" s="3" t="s">
        <v>28</v>
      </c>
      <c r="C6" s="3">
        <v>150</v>
      </c>
      <c r="D6" s="3">
        <v>25000</v>
      </c>
      <c r="E6" s="3">
        <f t="shared" si="0"/>
        <v>3750000</v>
      </c>
      <c r="G6" s="8" t="s">
        <v>35</v>
      </c>
      <c r="H6" s="9">
        <v>23750000</v>
      </c>
      <c r="K6" s="8" t="s">
        <v>35</v>
      </c>
      <c r="L6" s="9">
        <v>640</v>
      </c>
      <c r="M6" s="9">
        <v>23750000</v>
      </c>
    </row>
    <row r="9" spans="1:13">
      <c r="M9" s="4"/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performance analysis</vt:lpstr>
      <vt:lpstr>Monthly Expenses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tamim</dc:creator>
  <cp:lastModifiedBy>md tamim</cp:lastModifiedBy>
  <dcterms:created xsi:type="dcterms:W3CDTF">2026-07-07T10:10:52Z</dcterms:created>
  <dcterms:modified xsi:type="dcterms:W3CDTF">2026-07-07T19:21:53Z</dcterms:modified>
</cp:coreProperties>
</file>